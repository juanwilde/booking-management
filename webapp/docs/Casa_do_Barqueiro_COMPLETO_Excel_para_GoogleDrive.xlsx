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rvas" sheetId="1" r:id="rId4"/>
    <sheet state="visible" name="Calendario" sheetId="2" r:id="rId5"/>
    <sheet state="visible" name="Gastos" sheetId="3" r:id="rId6"/>
    <sheet state="visible" name="General" sheetId="4" r:id="rId7"/>
  </sheets>
  <definedNames/>
  <calcPr/>
  <extLst>
    <ext uri="GoogleSheetsCustomDataVersion2">
      <go:sheetsCustomData xmlns:go="http://customooxmlschemas.google.com/" r:id="rId8" roundtripDataChecksum="qqcQRZGtcwgotM36VuE9AQnuw1NrYsJJ3rzs2On31CY="/>
    </ext>
  </extLst>
</workbook>
</file>

<file path=xl/sharedStrings.xml><?xml version="1.0" encoding="utf-8"?>
<sst xmlns="http://schemas.openxmlformats.org/spreadsheetml/2006/main" count="49" uniqueCount="30">
  <si>
    <t>Apartamento</t>
  </si>
  <si>
    <t>Plataforma</t>
  </si>
  <si>
    <t>Check-in</t>
  </si>
  <si>
    <t>Check-out</t>
  </si>
  <si>
    <t>Cliente</t>
  </si>
  <si>
    <t>Importe</t>
  </si>
  <si>
    <t>Estado</t>
  </si>
  <si>
    <t>Caiño</t>
  </si>
  <si>
    <t>Airbnb</t>
  </si>
  <si>
    <t>antonio</t>
  </si>
  <si>
    <t>Loureira</t>
  </si>
  <si>
    <t>Web</t>
  </si>
  <si>
    <t>pedro</t>
  </si>
  <si>
    <t>Treixadura</t>
  </si>
  <si>
    <t>Fecha</t>
  </si>
  <si>
    <t>Categoría</t>
  </si>
  <si>
    <t>Proveedor</t>
  </si>
  <si>
    <t>Descripción</t>
  </si>
  <si>
    <t>Comisiones</t>
  </si>
  <si>
    <t>noe</t>
  </si>
  <si>
    <t>Resumen Casa do Barqueiro</t>
  </si>
  <si>
    <t>Total ingresos (todas las reservas):</t>
  </si>
  <si>
    <t>Total gastos (todos los apartamentos):</t>
  </si>
  <si>
    <t>Beneficio total:</t>
  </si>
  <si>
    <t>Ingresos por apartamento</t>
  </si>
  <si>
    <t>Gastos por apartamento</t>
  </si>
  <si>
    <t>Ingresos</t>
  </si>
  <si>
    <t>Gastos</t>
  </si>
  <si>
    <t>Beneficio por apartamento</t>
  </si>
  <si>
    <t>Beneficio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</si>
</sst>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"/>
    <numFmt numFmtId="165" formatCode="dd/mm/yyyy"/>
    <numFmt numFmtId="166" formatCode="dd/mm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9.0"/>
      <color theme="1"/>
      <name val="Calibri"/>
      <scheme val="minor"/>
    </font>
    <font>
      <b/>
      <sz val="14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0" numFmtId="0" xfId="0" applyFont="1"/>
    <xf borderId="0" fillId="0" fontId="1" numFmtId="0" xfId="0" applyFont="1"/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>
        <v>46005.0</v>
      </c>
      <c r="D2" s="3">
        <v>46007.0</v>
      </c>
      <c r="E2" s="2" t="s">
        <v>9</v>
      </c>
      <c r="F2" s="2">
        <v>100.0</v>
      </c>
      <c r="G2" s="4" t="str">
        <f>IF(COUNTIFS($A:$A,A2,$C:$C,"&lt;="&amp;#REF!,$D:$D,"&gt;"&amp;C2)&gt;1,"⚠ SOLAPADA","OK")</f>
        <v>OK</v>
      </c>
    </row>
    <row r="3">
      <c r="A3" s="2" t="s">
        <v>10</v>
      </c>
      <c r="B3" s="2" t="s">
        <v>11</v>
      </c>
      <c r="C3" s="3">
        <v>46008.0</v>
      </c>
      <c r="D3" s="3">
        <v>46009.0</v>
      </c>
      <c r="E3" s="2" t="s">
        <v>12</v>
      </c>
      <c r="F3" s="2">
        <v>800.0</v>
      </c>
    </row>
    <row r="4">
      <c r="A4" s="4"/>
      <c r="B4" s="2" t="s">
        <v>8</v>
      </c>
      <c r="D4" s="5"/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500">
      <formula1>"Caiño,Loureira,Treixadura"</formula1>
    </dataValidation>
    <dataValidation type="list" allowBlank="1" showErrorMessage="1" sqref="B2:B500">
      <formula1>"Airbnb,Web"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32" width="10.0"/>
  </cols>
  <sheetData>
    <row r="1">
      <c r="A1" s="6" t="s">
        <v>0</v>
      </c>
      <c r="B1" s="7">
        <v>46000.0</v>
      </c>
      <c r="C1" s="8">
        <f t="shared" ref="C1:AF1" si="1">B1+1</f>
        <v>46001</v>
      </c>
      <c r="D1" s="8">
        <f t="shared" si="1"/>
        <v>46002</v>
      </c>
      <c r="E1" s="8">
        <f t="shared" si="1"/>
        <v>46003</v>
      </c>
      <c r="F1" s="8">
        <f t="shared" si="1"/>
        <v>46004</v>
      </c>
      <c r="G1" s="8">
        <f t="shared" si="1"/>
        <v>46005</v>
      </c>
      <c r="H1" s="8">
        <f t="shared" si="1"/>
        <v>46006</v>
      </c>
      <c r="I1" s="8">
        <f t="shared" si="1"/>
        <v>46007</v>
      </c>
      <c r="J1" s="8">
        <f t="shared" si="1"/>
        <v>46008</v>
      </c>
      <c r="K1" s="8">
        <f t="shared" si="1"/>
        <v>46009</v>
      </c>
      <c r="L1" s="8">
        <f t="shared" si="1"/>
        <v>46010</v>
      </c>
      <c r="M1" s="8">
        <f t="shared" si="1"/>
        <v>46011</v>
      </c>
      <c r="N1" s="8">
        <f t="shared" si="1"/>
        <v>46012</v>
      </c>
      <c r="O1" s="8">
        <f t="shared" si="1"/>
        <v>46013</v>
      </c>
      <c r="P1" s="8">
        <f t="shared" si="1"/>
        <v>46014</v>
      </c>
      <c r="Q1" s="8">
        <f t="shared" si="1"/>
        <v>46015</v>
      </c>
      <c r="R1" s="8">
        <f t="shared" si="1"/>
        <v>46016</v>
      </c>
      <c r="S1" s="8">
        <f t="shared" si="1"/>
        <v>46017</v>
      </c>
      <c r="T1" s="8">
        <f t="shared" si="1"/>
        <v>46018</v>
      </c>
      <c r="U1" s="8">
        <f t="shared" si="1"/>
        <v>46019</v>
      </c>
      <c r="V1" s="8">
        <f t="shared" si="1"/>
        <v>46020</v>
      </c>
      <c r="W1" s="8">
        <f t="shared" si="1"/>
        <v>46021</v>
      </c>
      <c r="X1" s="8">
        <f t="shared" si="1"/>
        <v>46022</v>
      </c>
      <c r="Y1" s="8">
        <f t="shared" si="1"/>
        <v>46023</v>
      </c>
      <c r="Z1" s="8">
        <f t="shared" si="1"/>
        <v>46024</v>
      </c>
      <c r="AA1" s="8">
        <f t="shared" si="1"/>
        <v>46025</v>
      </c>
      <c r="AB1" s="8">
        <f t="shared" si="1"/>
        <v>46026</v>
      </c>
      <c r="AC1" s="8">
        <f t="shared" si="1"/>
        <v>46027</v>
      </c>
      <c r="AD1" s="8">
        <f t="shared" si="1"/>
        <v>46028</v>
      </c>
      <c r="AE1" s="8">
        <f t="shared" si="1"/>
        <v>46029</v>
      </c>
      <c r="AF1" s="8">
        <f t="shared" si="1"/>
        <v>46030</v>
      </c>
    </row>
    <row r="2">
      <c r="A2" s="4" t="s">
        <v>7</v>
      </c>
      <c r="B2" s="9" t="str">
        <f t="array" ref="B2">IFERROR(INDEX(Reservas!$E$2:$E$500,MATCH(1,(Reservas!$A$2:$A$500=$A2)*(Reservas!$C$2:$C$500&lt;=B$1)*(Reservas!$D$2:$D$500&gt;B$1),0)),"")</f>
        <v/>
      </c>
      <c r="C2" s="9" t="str">
        <f t="array" ref="C2">IFERROR(INDEX(Reservas!$E$2:$E$500,MATCH(1,(Reservas!$A$2:$A$500=$A2)*(Reservas!$C$2:$C$500&lt;=C$1)*(Reservas!$D$2:$D$500&gt;C$1),0)),"")</f>
        <v/>
      </c>
      <c r="D2" s="9" t="str">
        <f t="array" ref="D2">IFERROR(INDEX(Reservas!$E$2:$E$500,MATCH(1,(Reservas!$A$2:$A$500=$A2)*(Reservas!$C$2:$C$500&lt;=D$1)*(Reservas!$D$2:$D$500&gt;D$1),0)),"")</f>
        <v/>
      </c>
      <c r="E2" s="9" t="str">
        <f t="array" ref="E2">IFERROR(INDEX(Reservas!$E$2:$E$500,MATCH(1,(Reservas!$A$2:$A$500=$A2)*(Reservas!$C$2:$C$500&lt;=E$1)*(Reservas!$D$2:$D$500&gt;E$1),0)),"")</f>
        <v/>
      </c>
      <c r="F2" s="9" t="str">
        <f t="array" ref="F2">IFERROR(INDEX(Reservas!$E$2:$E$500,MATCH(1,(Reservas!$A$2:$A$500=$A2)*(Reservas!$C$2:$C$500&lt;=F$1)*(Reservas!$D$2:$D$500&gt;F$1),0)),"")</f>
        <v/>
      </c>
      <c r="G2" s="9" t="str">
        <f t="array" ref="G2">IFERROR(INDEX(Reservas!$E$2:$E$500,MATCH(1,(Reservas!$A$2:$A$500=$A2)*(Reservas!$C$2:$C$500&lt;=G$1)*(Reservas!$D$2:$D$500&gt;G$1),0)),"")</f>
        <v>antonio</v>
      </c>
      <c r="H2" s="9" t="str">
        <f t="array" ref="H2">IFERROR(INDEX(Reservas!$E$2:$E$500,MATCH(1,(Reservas!$A$2:$A$500=$A2)*(Reservas!$C$2:$C$500&lt;=H$1)*(Reservas!$D$2:$D$500&gt;H$1),0)),"")</f>
        <v>antonio</v>
      </c>
      <c r="I2" s="9" t="str">
        <f t="array" ref="I2">IFERROR(INDEX(Reservas!$E$2:$E$500,MATCH(1,(Reservas!$A$2:$A$500=$A2)*(Reservas!$C$2:$C$500&lt;=I$1)*(Reservas!$D$2:$D$500&gt;I$1),0)),"")</f>
        <v/>
      </c>
      <c r="J2" s="9" t="str">
        <f t="array" ref="J2">IFERROR(INDEX(Reservas!$E$2:$E$500,MATCH(1,(Reservas!$A$2:$A$500=$A2)*(Reservas!$C$2:$C$500&lt;=J$1)*(Reservas!$D$2:$D$500&gt;J$1),0)),"")</f>
        <v/>
      </c>
      <c r="K2" s="9" t="str">
        <f t="array" ref="K2">IFERROR(INDEX(Reservas!$E$2:$E$500,MATCH(1,(Reservas!$A$2:$A$500=$A2)*(Reservas!$C$2:$C$500&lt;=K$1)*(Reservas!$D$2:$D$500&gt;K$1),0)),"")</f>
        <v/>
      </c>
      <c r="L2" s="9" t="str">
        <f t="array" ref="L2">IFERROR(INDEX(Reservas!$E$2:$E$500,MATCH(1,(Reservas!$A$2:$A$500=$A2)*(Reservas!$C$2:$C$500&lt;=L$1)*(Reservas!$D$2:$D$500&gt;L$1),0)),"")</f>
        <v/>
      </c>
      <c r="M2" s="9" t="str">
        <f t="array" ref="M2">IFERROR(INDEX(Reservas!$E$2:$E$500,MATCH(1,(Reservas!$A$2:$A$500=$A2)*(Reservas!$C$2:$C$500&lt;=M$1)*(Reservas!$D$2:$D$500&gt;M$1),0)),"")</f>
        <v/>
      </c>
      <c r="N2" s="9" t="str">
        <f t="array" ref="N2">IFERROR(INDEX(Reservas!$E$2:$E$500,MATCH(1,(Reservas!$A$2:$A$500=$A2)*(Reservas!$C$2:$C$500&lt;=N$1)*(Reservas!$D$2:$D$500&gt;N$1),0)),"")</f>
        <v/>
      </c>
      <c r="O2" s="9" t="str">
        <f t="array" ref="O2">IFERROR(INDEX(Reservas!$E$2:$E$500,MATCH(1,(Reservas!$A$2:$A$500=$A2)*(Reservas!$C$2:$C$500&lt;=O$1)*(Reservas!$D$2:$D$500&gt;O$1),0)),"")</f>
        <v/>
      </c>
      <c r="P2" s="9" t="str">
        <f t="array" ref="P2">IFERROR(INDEX(Reservas!$E$2:$E$500,MATCH(1,(Reservas!$A$2:$A$500=$A2)*(Reservas!$C$2:$C$500&lt;=P$1)*(Reservas!$D$2:$D$500&gt;P$1),0)),"")</f>
        <v/>
      </c>
      <c r="Q2" s="9" t="str">
        <f t="array" ref="Q2">IFERROR(INDEX(Reservas!$E$2:$E$500,MATCH(1,(Reservas!$A$2:$A$500=$A2)*(Reservas!$C$2:$C$500&lt;=Q$1)*(Reservas!$D$2:$D$500&gt;Q$1),0)),"")</f>
        <v/>
      </c>
      <c r="R2" s="9" t="str">
        <f t="array" ref="R2">IFERROR(INDEX(Reservas!$E$2:$E$500,MATCH(1,(Reservas!$A$2:$A$500=$A2)*(Reservas!$C$2:$C$500&lt;=R$1)*(Reservas!$D$2:$D$500&gt;R$1),0)),"")</f>
        <v/>
      </c>
      <c r="S2" s="9" t="str">
        <f t="array" ref="S2">IFERROR(INDEX(Reservas!$E$2:$E$500,MATCH(1,(Reservas!$A$2:$A$500=$A2)*(Reservas!$C$2:$C$500&lt;=S$1)*(Reservas!$D$2:$D$500&gt;S$1),0)),"")</f>
        <v/>
      </c>
      <c r="T2" s="9" t="str">
        <f t="array" ref="T2">IFERROR(INDEX(Reservas!$E$2:$E$500,MATCH(1,(Reservas!$A$2:$A$500=$A2)*(Reservas!$C$2:$C$500&lt;=T$1)*(Reservas!$D$2:$D$500&gt;T$1),0)),"")</f>
        <v/>
      </c>
      <c r="U2" s="9" t="str">
        <f t="array" ref="U2">IFERROR(INDEX(Reservas!$E$2:$E$500,MATCH(1,(Reservas!$A$2:$A$500=$A2)*(Reservas!$C$2:$C$500&lt;=U$1)*(Reservas!$D$2:$D$500&gt;U$1),0)),"")</f>
        <v/>
      </c>
      <c r="V2" s="9" t="str">
        <f t="array" ref="V2">IFERROR(INDEX(Reservas!$E$2:$E$500,MATCH(1,(Reservas!$A$2:$A$500=$A2)*(Reservas!$C$2:$C$500&lt;=V$1)*(Reservas!$D$2:$D$500&gt;V$1),0)),"")</f>
        <v/>
      </c>
      <c r="W2" s="9" t="str">
        <f t="array" ref="W2">IFERROR(INDEX(Reservas!$E$2:$E$500,MATCH(1,(Reservas!$A$2:$A$500=$A2)*(Reservas!$C$2:$C$500&lt;=W$1)*(Reservas!$D$2:$D$500&gt;W$1),0)),"")</f>
        <v/>
      </c>
      <c r="X2" s="9" t="str">
        <f t="array" ref="X2">IFERROR(INDEX(Reservas!$E$2:$E$500,MATCH(1,(Reservas!$A$2:$A$500=$A2)*(Reservas!$C$2:$C$500&lt;=X$1)*(Reservas!$D$2:$D$500&gt;X$1),0)),"")</f>
        <v/>
      </c>
      <c r="Y2" s="9" t="str">
        <f t="array" ref="Y2">IFERROR(INDEX(Reservas!$E$2:$E$500,MATCH(1,(Reservas!$A$2:$A$500=$A2)*(Reservas!$C$2:$C$500&lt;=Y$1)*(Reservas!$D$2:$D$500&gt;Y$1),0)),"")</f>
        <v/>
      </c>
      <c r="Z2" s="9" t="str">
        <f t="array" ref="Z2">IFERROR(INDEX(Reservas!$E$2:$E$500,MATCH(1,(Reservas!$A$2:$A$500=$A2)*(Reservas!$C$2:$C$500&lt;=Z$1)*(Reservas!$D$2:$D$500&gt;Z$1),0)),"")</f>
        <v/>
      </c>
      <c r="AA2" s="9" t="str">
        <f t="array" ref="AA2">IFERROR(INDEX(Reservas!$E$2:$E$500,MATCH(1,(Reservas!$A$2:$A$500=$A2)*(Reservas!$C$2:$C$500&lt;=AA$1)*(Reservas!$D$2:$D$500&gt;AA$1),0)),"")</f>
        <v/>
      </c>
      <c r="AB2" s="9" t="str">
        <f t="array" ref="AB2">IFERROR(INDEX(Reservas!$E$2:$E$500,MATCH(1,(Reservas!$A$2:$A$500=$A2)*(Reservas!$C$2:$C$500&lt;=AB$1)*(Reservas!$D$2:$D$500&gt;AB$1),0)),"")</f>
        <v/>
      </c>
      <c r="AC2" s="9" t="str">
        <f t="array" ref="AC2">IFERROR(INDEX(Reservas!$E$2:$E$500,MATCH(1,(Reservas!$A$2:$A$500=$A2)*(Reservas!$C$2:$C$500&lt;=AC$1)*(Reservas!$D$2:$D$500&gt;AC$1),0)),"")</f>
        <v/>
      </c>
      <c r="AD2" s="9" t="str">
        <f t="array" ref="AD2">IFERROR(INDEX(Reservas!$E$2:$E$500,MATCH(1,(Reservas!$A$2:$A$500=$A2)*(Reservas!$C$2:$C$500&lt;=AD$1)*(Reservas!$D$2:$D$500&gt;AD$1),0)),"")</f>
        <v/>
      </c>
      <c r="AE2" s="9" t="str">
        <f t="array" ref="AE2">IFERROR(INDEX(Reservas!$E$2:$E$500,MATCH(1,(Reservas!$A$2:$A$500=$A2)*(Reservas!$C$2:$C$500&lt;=AE$1)*(Reservas!$D$2:$D$500&gt;AE$1),0)),"")</f>
        <v/>
      </c>
      <c r="AF2" s="9" t="str">
        <f t="array" ref="AF2">IFERROR(INDEX(Reservas!$E$2:$E$500,MATCH(1,(Reservas!$A$2:$A$500=$A2)*(Reservas!$C$2:$C$500&lt;=AF$1)*(Reservas!$D$2:$D$500&gt;AF$1),0)),"")</f>
        <v/>
      </c>
    </row>
    <row r="3">
      <c r="A3" s="4" t="s">
        <v>10</v>
      </c>
      <c r="B3" s="9" t="str">
        <f t="array" ref="B3">IFERROR(INDEX(Reservas!$E$2:$E$500,MATCH(1,(Reservas!$A$2:$A$500=$A3)*(Reservas!$C$2:$C$500&lt;=B$1)*(Reservas!$D$2:$D$500&gt;B$1),0)),"")</f>
        <v/>
      </c>
      <c r="C3" s="9" t="str">
        <f t="array" ref="C3">IFERROR(INDEX(Reservas!$E$2:$E$500,MATCH(1,(Reservas!$A$2:$A$500=$A3)*(Reservas!$C$2:$C$500&lt;=C$1)*(Reservas!$D$2:$D$500&gt;C$1),0)),"")</f>
        <v/>
      </c>
      <c r="D3" s="9" t="str">
        <f t="array" ref="D3">IFERROR(INDEX(Reservas!$E$2:$E$500,MATCH(1,(Reservas!$A$2:$A$500=$A3)*(Reservas!$C$2:$C$500&lt;=D$1)*(Reservas!$D$2:$D$500&gt;D$1),0)),"")</f>
        <v/>
      </c>
      <c r="E3" s="9" t="str">
        <f t="array" ref="E3">IFERROR(INDEX(Reservas!$E$2:$E$500,MATCH(1,(Reservas!$A$2:$A$500=$A3)*(Reservas!$C$2:$C$500&lt;=E$1)*(Reservas!$D$2:$D$500&gt;E$1),0)),"")</f>
        <v/>
      </c>
      <c r="F3" s="9" t="str">
        <f t="array" ref="F3">IFERROR(INDEX(Reservas!$E$2:$E$500,MATCH(1,(Reservas!$A$2:$A$500=$A3)*(Reservas!$C$2:$C$500&lt;=F$1)*(Reservas!$D$2:$D$500&gt;F$1),0)),"")</f>
        <v/>
      </c>
      <c r="G3" s="9" t="str">
        <f t="array" ref="G3">IFERROR(INDEX(Reservas!$E$2:$E$500,MATCH(1,(Reservas!$A$2:$A$500=$A3)*(Reservas!$C$2:$C$500&lt;=G$1)*(Reservas!$D$2:$D$500&gt;G$1),0)),"")</f>
        <v/>
      </c>
      <c r="H3" s="9" t="str">
        <f t="array" ref="H3">IFERROR(INDEX(Reservas!$E$2:$E$500,MATCH(1,(Reservas!$A$2:$A$500=$A3)*(Reservas!$C$2:$C$500&lt;=H$1)*(Reservas!$D$2:$D$500&gt;H$1),0)),"")</f>
        <v/>
      </c>
      <c r="I3" s="9" t="str">
        <f t="array" ref="I3">IFERROR(INDEX(Reservas!$E$2:$E$500,MATCH(1,(Reservas!$A$2:$A$500=$A3)*(Reservas!$C$2:$C$500&lt;=I$1)*(Reservas!$D$2:$D$500&gt;I$1),0)),"")</f>
        <v/>
      </c>
      <c r="J3" s="9" t="str">
        <f t="array" ref="J3">IFERROR(INDEX(Reservas!$E$2:$E$500,MATCH(1,(Reservas!$A$2:$A$500=$A3)*(Reservas!$C$2:$C$500&lt;=J$1)*(Reservas!$D$2:$D$500&gt;J$1),0)),"")</f>
        <v>pedro</v>
      </c>
      <c r="K3" s="9" t="str">
        <f t="array" ref="K3">IFERROR(INDEX(Reservas!$E$2:$E$500,MATCH(1,(Reservas!$A$2:$A$500=$A3)*(Reservas!$C$2:$C$500&lt;=K$1)*(Reservas!$D$2:$D$500&gt;K$1),0)),"")</f>
        <v/>
      </c>
      <c r="L3" s="9" t="str">
        <f t="array" ref="L3">IFERROR(INDEX(Reservas!$E$2:$E$500,MATCH(1,(Reservas!$A$2:$A$500=$A3)*(Reservas!$C$2:$C$500&lt;=L$1)*(Reservas!$D$2:$D$500&gt;L$1),0)),"")</f>
        <v/>
      </c>
      <c r="M3" s="9" t="str">
        <f t="array" ref="M3">IFERROR(INDEX(Reservas!$E$2:$E$500,MATCH(1,(Reservas!$A$2:$A$500=$A3)*(Reservas!$C$2:$C$500&lt;=M$1)*(Reservas!$D$2:$D$500&gt;M$1),0)),"")</f>
        <v/>
      </c>
      <c r="N3" s="9" t="str">
        <f t="array" ref="N3">IFERROR(INDEX(Reservas!$E$2:$E$500,MATCH(1,(Reservas!$A$2:$A$500=$A3)*(Reservas!$C$2:$C$500&lt;=N$1)*(Reservas!$D$2:$D$500&gt;N$1),0)),"")</f>
        <v/>
      </c>
      <c r="O3" s="9" t="str">
        <f t="array" ref="O3">IFERROR(INDEX(Reservas!$E$2:$E$500,MATCH(1,(Reservas!$A$2:$A$500=$A3)*(Reservas!$C$2:$C$500&lt;=O$1)*(Reservas!$D$2:$D$500&gt;O$1),0)),"")</f>
        <v/>
      </c>
      <c r="P3" s="9" t="str">
        <f t="array" ref="P3">IFERROR(INDEX(Reservas!$E$2:$E$500,MATCH(1,(Reservas!$A$2:$A$500=$A3)*(Reservas!$C$2:$C$500&lt;=P$1)*(Reservas!$D$2:$D$500&gt;P$1),0)),"")</f>
        <v/>
      </c>
      <c r="Q3" s="9" t="str">
        <f t="array" ref="Q3">IFERROR(INDEX(Reservas!$E$2:$E$500,MATCH(1,(Reservas!$A$2:$A$500=$A3)*(Reservas!$C$2:$C$500&lt;=Q$1)*(Reservas!$D$2:$D$500&gt;Q$1),0)),"")</f>
        <v/>
      </c>
      <c r="R3" s="9" t="str">
        <f t="array" ref="R3">IFERROR(INDEX(Reservas!$E$2:$E$500,MATCH(1,(Reservas!$A$2:$A$500=$A3)*(Reservas!$C$2:$C$500&lt;=R$1)*(Reservas!$D$2:$D$500&gt;R$1),0)),"")</f>
        <v/>
      </c>
      <c r="S3" s="9" t="str">
        <f t="array" ref="S3">IFERROR(INDEX(Reservas!$E$2:$E$500,MATCH(1,(Reservas!$A$2:$A$500=$A3)*(Reservas!$C$2:$C$500&lt;=S$1)*(Reservas!$D$2:$D$500&gt;S$1),0)),"")</f>
        <v/>
      </c>
      <c r="T3" s="9" t="str">
        <f t="array" ref="T3">IFERROR(INDEX(Reservas!$E$2:$E$500,MATCH(1,(Reservas!$A$2:$A$500=$A3)*(Reservas!$C$2:$C$500&lt;=T$1)*(Reservas!$D$2:$D$500&gt;T$1),0)),"")</f>
        <v/>
      </c>
      <c r="U3" s="9" t="str">
        <f t="array" ref="U3">IFERROR(INDEX(Reservas!$E$2:$E$500,MATCH(1,(Reservas!$A$2:$A$500=$A3)*(Reservas!$C$2:$C$500&lt;=U$1)*(Reservas!$D$2:$D$500&gt;U$1),0)),"")</f>
        <v/>
      </c>
      <c r="V3" s="9" t="str">
        <f t="array" ref="V3">IFERROR(INDEX(Reservas!$E$2:$E$500,MATCH(1,(Reservas!$A$2:$A$500=$A3)*(Reservas!$C$2:$C$500&lt;=V$1)*(Reservas!$D$2:$D$500&gt;V$1),0)),"")</f>
        <v/>
      </c>
      <c r="W3" s="9" t="str">
        <f t="array" ref="W3">IFERROR(INDEX(Reservas!$E$2:$E$500,MATCH(1,(Reservas!$A$2:$A$500=$A3)*(Reservas!$C$2:$C$500&lt;=W$1)*(Reservas!$D$2:$D$500&gt;W$1),0)),"")</f>
        <v/>
      </c>
      <c r="X3" s="9" t="str">
        <f t="array" ref="X3">IFERROR(INDEX(Reservas!$E$2:$E$500,MATCH(1,(Reservas!$A$2:$A$500=$A3)*(Reservas!$C$2:$C$500&lt;=X$1)*(Reservas!$D$2:$D$500&gt;X$1),0)),"")</f>
        <v/>
      </c>
      <c r="Y3" s="9" t="str">
        <f t="array" ref="Y3">IFERROR(INDEX(Reservas!$E$2:$E$500,MATCH(1,(Reservas!$A$2:$A$500=$A3)*(Reservas!$C$2:$C$500&lt;=Y$1)*(Reservas!$D$2:$D$500&gt;Y$1),0)),"")</f>
        <v/>
      </c>
      <c r="Z3" s="9" t="str">
        <f t="array" ref="Z3">IFERROR(INDEX(Reservas!$E$2:$E$500,MATCH(1,(Reservas!$A$2:$A$500=$A3)*(Reservas!$C$2:$C$500&lt;=Z$1)*(Reservas!$D$2:$D$500&gt;Z$1),0)),"")</f>
        <v/>
      </c>
      <c r="AA3" s="9" t="str">
        <f t="array" ref="AA3">IFERROR(INDEX(Reservas!$E$2:$E$500,MATCH(1,(Reservas!$A$2:$A$500=$A3)*(Reservas!$C$2:$C$500&lt;=AA$1)*(Reservas!$D$2:$D$500&gt;AA$1),0)),"")</f>
        <v/>
      </c>
      <c r="AB3" s="9" t="str">
        <f t="array" ref="AB3">IFERROR(INDEX(Reservas!$E$2:$E$500,MATCH(1,(Reservas!$A$2:$A$500=$A3)*(Reservas!$C$2:$C$500&lt;=AB$1)*(Reservas!$D$2:$D$500&gt;AB$1),0)),"")</f>
        <v/>
      </c>
      <c r="AC3" s="9" t="str">
        <f t="array" ref="AC3">IFERROR(INDEX(Reservas!$E$2:$E$500,MATCH(1,(Reservas!$A$2:$A$500=$A3)*(Reservas!$C$2:$C$500&lt;=AC$1)*(Reservas!$D$2:$D$500&gt;AC$1),0)),"")</f>
        <v/>
      </c>
      <c r="AD3" s="9" t="str">
        <f t="array" ref="AD3">IFERROR(INDEX(Reservas!$E$2:$E$500,MATCH(1,(Reservas!$A$2:$A$500=$A3)*(Reservas!$C$2:$C$500&lt;=AD$1)*(Reservas!$D$2:$D$500&gt;AD$1),0)),"")</f>
        <v/>
      </c>
      <c r="AE3" s="9" t="str">
        <f t="array" ref="AE3">IFERROR(INDEX(Reservas!$E$2:$E$500,MATCH(1,(Reservas!$A$2:$A$500=$A3)*(Reservas!$C$2:$C$500&lt;=AE$1)*(Reservas!$D$2:$D$500&gt;AE$1),0)),"")</f>
        <v/>
      </c>
      <c r="AF3" s="9" t="str">
        <f t="array" ref="AF3">IFERROR(INDEX(Reservas!$E$2:$E$500,MATCH(1,(Reservas!$A$2:$A$500=$A3)*(Reservas!$C$2:$C$500&lt;=AF$1)*(Reservas!$D$2:$D$500&gt;AF$1),0)),"")</f>
        <v/>
      </c>
    </row>
    <row r="4">
      <c r="A4" s="4" t="s">
        <v>13</v>
      </c>
      <c r="B4" s="9" t="str">
        <f t="array" ref="B4">IFERROR(INDEX(Reservas!$E$2:$E$500,MATCH(1,(Reservas!$A$2:$A$500=$A4)*(Reservas!$C$2:$C$500&lt;=B$1)*(Reservas!$D$2:$D$500&gt;B$1),0)),"")</f>
        <v/>
      </c>
      <c r="C4" s="9" t="str">
        <f t="array" ref="C4">IFERROR(INDEX(Reservas!$E$2:$E$500,MATCH(1,(Reservas!$A$2:$A$500=$A4)*(Reservas!$C$2:$C$500&lt;=C$1)*(Reservas!$D$2:$D$500&gt;C$1),0)),"")</f>
        <v/>
      </c>
      <c r="D4" s="9" t="str">
        <f t="array" ref="D4">IFERROR(INDEX(Reservas!$E$2:$E$500,MATCH(1,(Reservas!$A$2:$A$500=$A4)*(Reservas!$C$2:$C$500&lt;=D$1)*(Reservas!$D$2:$D$500&gt;D$1),0)),"")</f>
        <v/>
      </c>
      <c r="E4" s="9" t="str">
        <f t="array" ref="E4">IFERROR(INDEX(Reservas!$E$2:$E$500,MATCH(1,(Reservas!$A$2:$A$500=$A4)*(Reservas!$C$2:$C$500&lt;=E$1)*(Reservas!$D$2:$D$500&gt;E$1),0)),"")</f>
        <v/>
      </c>
      <c r="F4" s="9" t="str">
        <f t="array" ref="F4">IFERROR(INDEX(Reservas!$E$2:$E$500,MATCH(1,(Reservas!$A$2:$A$500=$A4)*(Reservas!$C$2:$C$500&lt;=F$1)*(Reservas!$D$2:$D$500&gt;F$1),0)),"")</f>
        <v/>
      </c>
      <c r="G4" s="9" t="str">
        <f t="array" ref="G4">IFERROR(INDEX(Reservas!$E$2:$E$500,MATCH(1,(Reservas!$A$2:$A$500=$A4)*(Reservas!$C$2:$C$500&lt;=G$1)*(Reservas!$D$2:$D$500&gt;G$1),0)),"")</f>
        <v/>
      </c>
      <c r="H4" s="9" t="str">
        <f t="array" ref="H4">IFERROR(INDEX(Reservas!$E$2:$E$500,MATCH(1,(Reservas!$A$2:$A$500=$A4)*(Reservas!$C$2:$C$500&lt;=H$1)*(Reservas!$D$2:$D$500&gt;H$1),0)),"")</f>
        <v/>
      </c>
      <c r="I4" s="9" t="str">
        <f t="array" ref="I4">IFERROR(INDEX(Reservas!$E$2:$E$500,MATCH(1,(Reservas!$A$2:$A$500=$A4)*(Reservas!$C$2:$C$500&lt;=I$1)*(Reservas!$D$2:$D$500&gt;I$1),0)),"")</f>
        <v/>
      </c>
      <c r="J4" s="9" t="str">
        <f t="array" ref="J4">IFERROR(INDEX(Reservas!$E$2:$E$500,MATCH(1,(Reservas!$A$2:$A$500=$A4)*(Reservas!$C$2:$C$500&lt;=J$1)*(Reservas!$D$2:$D$500&gt;J$1),0)),"")</f>
        <v/>
      </c>
      <c r="K4" s="9" t="str">
        <f t="array" ref="K4">IFERROR(INDEX(Reservas!$E$2:$E$500,MATCH(1,(Reservas!$A$2:$A$500=$A4)*(Reservas!$C$2:$C$500&lt;=K$1)*(Reservas!$D$2:$D$500&gt;K$1),0)),"")</f>
        <v/>
      </c>
      <c r="L4" s="9" t="str">
        <f t="array" ref="L4">IFERROR(INDEX(Reservas!$E$2:$E$500,MATCH(1,(Reservas!$A$2:$A$500=$A4)*(Reservas!$C$2:$C$500&lt;=L$1)*(Reservas!$D$2:$D$500&gt;L$1),0)),"")</f>
        <v/>
      </c>
      <c r="M4" s="9" t="str">
        <f t="array" ref="M4">IFERROR(INDEX(Reservas!$E$2:$E$500,MATCH(1,(Reservas!$A$2:$A$500=$A4)*(Reservas!$C$2:$C$500&lt;=M$1)*(Reservas!$D$2:$D$500&gt;M$1),0)),"")</f>
        <v/>
      </c>
      <c r="N4" s="9" t="str">
        <f t="array" ref="N4">IFERROR(INDEX(Reservas!$E$2:$E$500,MATCH(1,(Reservas!$A$2:$A$500=$A4)*(Reservas!$C$2:$C$500&lt;=N$1)*(Reservas!$D$2:$D$500&gt;N$1),0)),"")</f>
        <v/>
      </c>
      <c r="O4" s="9" t="str">
        <f t="array" ref="O4">IFERROR(INDEX(Reservas!$E$2:$E$500,MATCH(1,(Reservas!$A$2:$A$500=$A4)*(Reservas!$C$2:$C$500&lt;=O$1)*(Reservas!$D$2:$D$500&gt;O$1),0)),"")</f>
        <v/>
      </c>
      <c r="P4" s="9" t="str">
        <f t="array" ref="P4">IFERROR(INDEX(Reservas!$E$2:$E$500,MATCH(1,(Reservas!$A$2:$A$500=$A4)*(Reservas!$C$2:$C$500&lt;=P$1)*(Reservas!$D$2:$D$500&gt;P$1),0)),"")</f>
        <v/>
      </c>
      <c r="Q4" s="9" t="str">
        <f t="array" ref="Q4">IFERROR(INDEX(Reservas!$E$2:$E$500,MATCH(1,(Reservas!$A$2:$A$500=$A4)*(Reservas!$C$2:$C$500&lt;=Q$1)*(Reservas!$D$2:$D$500&gt;Q$1),0)),"")</f>
        <v/>
      </c>
      <c r="R4" s="9" t="str">
        <f t="array" ref="R4">IFERROR(INDEX(Reservas!$E$2:$E$500,MATCH(1,(Reservas!$A$2:$A$500=$A4)*(Reservas!$C$2:$C$500&lt;=R$1)*(Reservas!$D$2:$D$500&gt;R$1),0)),"")</f>
        <v/>
      </c>
      <c r="S4" s="9" t="str">
        <f t="array" ref="S4">IFERROR(INDEX(Reservas!$E$2:$E$500,MATCH(1,(Reservas!$A$2:$A$500=$A4)*(Reservas!$C$2:$C$500&lt;=S$1)*(Reservas!$D$2:$D$500&gt;S$1),0)),"")</f>
        <v/>
      </c>
      <c r="T4" s="9" t="str">
        <f t="array" ref="T4">IFERROR(INDEX(Reservas!$E$2:$E$500,MATCH(1,(Reservas!$A$2:$A$500=$A4)*(Reservas!$C$2:$C$500&lt;=T$1)*(Reservas!$D$2:$D$500&gt;T$1),0)),"")</f>
        <v/>
      </c>
      <c r="U4" s="9" t="str">
        <f t="array" ref="U4">IFERROR(INDEX(Reservas!$E$2:$E$500,MATCH(1,(Reservas!$A$2:$A$500=$A4)*(Reservas!$C$2:$C$500&lt;=U$1)*(Reservas!$D$2:$D$500&gt;U$1),0)),"")</f>
        <v/>
      </c>
      <c r="V4" s="9" t="str">
        <f t="array" ref="V4">IFERROR(INDEX(Reservas!$E$2:$E$500,MATCH(1,(Reservas!$A$2:$A$500=$A4)*(Reservas!$C$2:$C$500&lt;=V$1)*(Reservas!$D$2:$D$500&gt;V$1),0)),"")</f>
        <v/>
      </c>
      <c r="W4" s="9" t="str">
        <f t="array" ref="W4">IFERROR(INDEX(Reservas!$E$2:$E$500,MATCH(1,(Reservas!$A$2:$A$500=$A4)*(Reservas!$C$2:$C$500&lt;=W$1)*(Reservas!$D$2:$D$500&gt;W$1),0)),"")</f>
        <v/>
      </c>
      <c r="X4" s="9" t="str">
        <f t="array" ref="X4">IFERROR(INDEX(Reservas!$E$2:$E$500,MATCH(1,(Reservas!$A$2:$A$500=$A4)*(Reservas!$C$2:$C$500&lt;=X$1)*(Reservas!$D$2:$D$500&gt;X$1),0)),"")</f>
        <v/>
      </c>
      <c r="Y4" s="9" t="str">
        <f t="array" ref="Y4">IFERROR(INDEX(Reservas!$E$2:$E$500,MATCH(1,(Reservas!$A$2:$A$500=$A4)*(Reservas!$C$2:$C$500&lt;=Y$1)*(Reservas!$D$2:$D$500&gt;Y$1),0)),"")</f>
        <v/>
      </c>
      <c r="Z4" s="9" t="str">
        <f t="array" ref="Z4">IFERROR(INDEX(Reservas!$E$2:$E$500,MATCH(1,(Reservas!$A$2:$A$500=$A4)*(Reservas!$C$2:$C$500&lt;=Z$1)*(Reservas!$D$2:$D$500&gt;Z$1),0)),"")</f>
        <v/>
      </c>
      <c r="AA4" s="9" t="str">
        <f t="array" ref="AA4">IFERROR(INDEX(Reservas!$E$2:$E$500,MATCH(1,(Reservas!$A$2:$A$500=$A4)*(Reservas!$C$2:$C$500&lt;=AA$1)*(Reservas!$D$2:$D$500&gt;AA$1),0)),"")</f>
        <v/>
      </c>
      <c r="AB4" s="9" t="str">
        <f t="array" ref="AB4">IFERROR(INDEX(Reservas!$E$2:$E$500,MATCH(1,(Reservas!$A$2:$A$500=$A4)*(Reservas!$C$2:$C$500&lt;=AB$1)*(Reservas!$D$2:$D$500&gt;AB$1),0)),"")</f>
        <v/>
      </c>
      <c r="AC4" s="9" t="str">
        <f t="array" ref="AC4">IFERROR(INDEX(Reservas!$E$2:$E$500,MATCH(1,(Reservas!$A$2:$A$500=$A4)*(Reservas!$C$2:$C$500&lt;=AC$1)*(Reservas!$D$2:$D$500&gt;AC$1),0)),"")</f>
        <v/>
      </c>
      <c r="AD4" s="9" t="str">
        <f t="array" ref="AD4">IFERROR(INDEX(Reservas!$E$2:$E$500,MATCH(1,(Reservas!$A$2:$A$500=$A4)*(Reservas!$C$2:$C$500&lt;=AD$1)*(Reservas!$D$2:$D$500&gt;AD$1),0)),"")</f>
        <v/>
      </c>
      <c r="AE4" s="9" t="str">
        <f t="array" ref="AE4">IFERROR(INDEX(Reservas!$E$2:$E$500,MATCH(1,(Reservas!$A$2:$A$500=$A4)*(Reservas!$C$2:$C$500&lt;=AE$1)*(Reservas!$D$2:$D$500&gt;AE$1),0)),"")</f>
        <v/>
      </c>
      <c r="AF4" s="9" t="str">
        <f t="array" ref="AF4">IFERROR(INDEX(Reservas!$E$2:$E$500,MATCH(1,(Reservas!$A$2:$A$500=$A4)*(Reservas!$C$2:$C$500&lt;=AF$1)*(Reservas!$D$2:$D$500&gt;AF$1),0)),"")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8.0"/>
    <col customWidth="1" min="7" max="27" width="8.71"/>
  </cols>
  <sheetData>
    <row r="1">
      <c r="A1" s="1" t="s">
        <v>14</v>
      </c>
      <c r="B1" s="1" t="s">
        <v>0</v>
      </c>
      <c r="C1" s="1" t="s">
        <v>15</v>
      </c>
      <c r="D1" s="10" t="s">
        <v>16</v>
      </c>
      <c r="E1" s="1" t="s">
        <v>17</v>
      </c>
      <c r="F1" s="1" t="s">
        <v>5</v>
      </c>
    </row>
    <row r="2">
      <c r="A2" s="3">
        <v>46001.0</v>
      </c>
      <c r="B2" s="2" t="s">
        <v>7</v>
      </c>
      <c r="C2" s="2" t="s">
        <v>18</v>
      </c>
      <c r="D2" s="2" t="s">
        <v>19</v>
      </c>
      <c r="F2" s="2">
        <v>50.0</v>
      </c>
    </row>
    <row r="3">
      <c r="B3" s="4"/>
      <c r="C3" s="4"/>
    </row>
    <row r="4">
      <c r="B4" s="4"/>
      <c r="C4" s="4"/>
    </row>
    <row r="5">
      <c r="B5" s="4"/>
      <c r="C5" s="4"/>
    </row>
    <row r="6">
      <c r="B6" s="4"/>
      <c r="C6" s="4"/>
    </row>
    <row r="7">
      <c r="B7" s="4"/>
      <c r="C7" s="4"/>
    </row>
    <row r="8">
      <c r="B8" s="4"/>
      <c r="C8" s="4"/>
    </row>
    <row r="9">
      <c r="B9" s="4"/>
      <c r="C9" s="4"/>
    </row>
    <row r="10">
      <c r="B10" s="4"/>
      <c r="C10" s="4"/>
    </row>
    <row r="11">
      <c r="B11" s="4"/>
      <c r="C11" s="4"/>
    </row>
    <row r="12">
      <c r="B12" s="4"/>
      <c r="C12" s="4"/>
    </row>
    <row r="13">
      <c r="B13" s="4"/>
      <c r="C13" s="4"/>
    </row>
    <row r="14">
      <c r="B14" s="4"/>
      <c r="C14" s="4"/>
    </row>
    <row r="15">
      <c r="B15" s="4"/>
      <c r="C15" s="4"/>
    </row>
    <row r="16">
      <c r="B16" s="4"/>
      <c r="C16" s="4"/>
    </row>
    <row r="17">
      <c r="B17" s="4"/>
      <c r="C17" s="4"/>
    </row>
    <row r="18">
      <c r="B18" s="4"/>
      <c r="C18" s="4"/>
    </row>
    <row r="19">
      <c r="B19" s="4"/>
      <c r="C19" s="4"/>
    </row>
    <row r="20">
      <c r="B20" s="4"/>
      <c r="C20" s="4"/>
    </row>
    <row r="21" ht="15.75" customHeight="1">
      <c r="B21" s="4"/>
      <c r="C21" s="4"/>
    </row>
    <row r="22" ht="15.75" customHeight="1">
      <c r="B22" s="4"/>
      <c r="C22" s="4"/>
    </row>
    <row r="23" ht="15.75" customHeight="1">
      <c r="B23" s="4"/>
      <c r="C23" s="4"/>
    </row>
    <row r="24" ht="15.75" customHeight="1">
      <c r="B24" s="4"/>
      <c r="C24" s="4"/>
    </row>
    <row r="25" ht="15.75" customHeight="1">
      <c r="B25" s="4"/>
      <c r="C25" s="4"/>
    </row>
    <row r="26" ht="15.75" customHeight="1">
      <c r="B26" s="4"/>
      <c r="C26" s="4"/>
    </row>
    <row r="27" ht="15.75" customHeight="1">
      <c r="B27" s="4"/>
      <c r="C27" s="4"/>
    </row>
    <row r="28" ht="15.75" customHeight="1">
      <c r="B28" s="4"/>
      <c r="C28" s="4"/>
    </row>
    <row r="29" ht="15.75" customHeight="1">
      <c r="B29" s="4"/>
      <c r="C29" s="4"/>
    </row>
    <row r="30" ht="15.75" customHeight="1">
      <c r="B30" s="4"/>
      <c r="C30" s="4"/>
    </row>
    <row r="31" ht="15.75" customHeight="1">
      <c r="B31" s="4"/>
      <c r="C31" s="4"/>
    </row>
    <row r="32" ht="15.75" customHeight="1">
      <c r="B32" s="4"/>
      <c r="C32" s="4"/>
    </row>
    <row r="33" ht="15.75" customHeight="1">
      <c r="B33" s="4"/>
      <c r="C33" s="4"/>
    </row>
    <row r="34" ht="15.75" customHeight="1">
      <c r="B34" s="4"/>
      <c r="C34" s="4"/>
    </row>
    <row r="35" ht="15.75" customHeight="1">
      <c r="B35" s="4"/>
      <c r="C35" s="4"/>
    </row>
    <row r="36" ht="15.75" customHeight="1">
      <c r="B36" s="4"/>
      <c r="C36" s="4"/>
    </row>
    <row r="37" ht="15.75" customHeight="1">
      <c r="B37" s="4"/>
      <c r="C37" s="4"/>
    </row>
    <row r="38" ht="15.75" customHeight="1">
      <c r="B38" s="4"/>
      <c r="C38" s="4"/>
    </row>
    <row r="39" ht="15.75" customHeight="1">
      <c r="B39" s="4"/>
      <c r="C39" s="4"/>
    </row>
    <row r="40" ht="15.75" customHeight="1">
      <c r="B40" s="4"/>
      <c r="C40" s="4"/>
    </row>
    <row r="41" ht="15.75" customHeight="1">
      <c r="B41" s="4"/>
      <c r="C41" s="4"/>
    </row>
    <row r="42" ht="15.75" customHeight="1">
      <c r="B42" s="4"/>
      <c r="C42" s="4"/>
    </row>
    <row r="43" ht="15.75" customHeight="1">
      <c r="B43" s="4"/>
      <c r="C43" s="4"/>
    </row>
    <row r="44" ht="15.75" customHeight="1">
      <c r="B44" s="4"/>
      <c r="C44" s="4"/>
    </row>
    <row r="45" ht="15.75" customHeight="1">
      <c r="B45" s="4"/>
      <c r="C45" s="4"/>
    </row>
    <row r="46" ht="15.75" customHeight="1">
      <c r="B46" s="4"/>
      <c r="C46" s="4"/>
    </row>
    <row r="47" ht="15.75" customHeight="1">
      <c r="B47" s="4"/>
      <c r="C47" s="4"/>
    </row>
    <row r="48" ht="15.75" customHeight="1">
      <c r="B48" s="4"/>
      <c r="C48" s="4"/>
    </row>
    <row r="49" ht="15.75" customHeight="1">
      <c r="B49" s="4"/>
      <c r="C49" s="4"/>
    </row>
    <row r="50" ht="15.75" customHeight="1">
      <c r="B50" s="4"/>
      <c r="C50" s="4"/>
    </row>
    <row r="51" ht="15.75" customHeight="1">
      <c r="B51" s="4"/>
      <c r="C51" s="4"/>
    </row>
    <row r="52" ht="15.75" customHeight="1">
      <c r="B52" s="4"/>
      <c r="C52" s="4"/>
    </row>
    <row r="53" ht="15.75" customHeight="1">
      <c r="B53" s="4"/>
      <c r="C53" s="4"/>
    </row>
    <row r="54" ht="15.75" customHeight="1">
      <c r="B54" s="4"/>
      <c r="C54" s="4"/>
    </row>
    <row r="55" ht="15.75" customHeight="1">
      <c r="B55" s="4"/>
      <c r="C55" s="4"/>
    </row>
    <row r="56" ht="15.75" customHeight="1">
      <c r="B56" s="4"/>
      <c r="C56" s="4"/>
    </row>
    <row r="57" ht="15.75" customHeight="1">
      <c r="B57" s="4"/>
      <c r="C57" s="4"/>
    </row>
    <row r="58" ht="15.75" customHeight="1">
      <c r="B58" s="4"/>
      <c r="C58" s="4"/>
    </row>
    <row r="59" ht="15.75" customHeight="1">
      <c r="B59" s="4"/>
      <c r="C59" s="4"/>
    </row>
    <row r="60" ht="15.75" customHeight="1">
      <c r="B60" s="4"/>
      <c r="C60" s="4"/>
    </row>
    <row r="61" ht="15.75" customHeight="1">
      <c r="B61" s="4"/>
      <c r="C61" s="4"/>
    </row>
    <row r="62" ht="15.75" customHeight="1">
      <c r="B62" s="4"/>
      <c r="C62" s="4"/>
    </row>
    <row r="63" ht="15.75" customHeight="1">
      <c r="B63" s="4"/>
      <c r="C63" s="4"/>
    </row>
    <row r="64" ht="15.75" customHeight="1">
      <c r="B64" s="4"/>
      <c r="C64" s="4"/>
    </row>
    <row r="65" ht="15.75" customHeight="1">
      <c r="B65" s="4"/>
      <c r="C65" s="4"/>
    </row>
    <row r="66" ht="15.75" customHeight="1">
      <c r="B66" s="4"/>
      <c r="C66" s="4"/>
    </row>
    <row r="67" ht="15.75" customHeight="1">
      <c r="B67" s="4"/>
      <c r="C67" s="4"/>
    </row>
    <row r="68" ht="15.75" customHeight="1">
      <c r="B68" s="4"/>
      <c r="C68" s="4"/>
    </row>
    <row r="69" ht="15.75" customHeight="1">
      <c r="B69" s="4"/>
      <c r="C69" s="4"/>
    </row>
    <row r="70" ht="15.75" customHeight="1">
      <c r="B70" s="4"/>
      <c r="C70" s="4"/>
    </row>
    <row r="71" ht="15.75" customHeight="1">
      <c r="B71" s="4"/>
      <c r="C71" s="4"/>
    </row>
    <row r="72" ht="15.75" customHeight="1">
      <c r="B72" s="4"/>
      <c r="C72" s="4"/>
    </row>
    <row r="73" ht="15.75" customHeight="1">
      <c r="B73" s="4"/>
      <c r="C73" s="4"/>
    </row>
    <row r="74" ht="15.75" customHeight="1">
      <c r="B74" s="4"/>
      <c r="C74" s="4"/>
    </row>
    <row r="75" ht="15.75" customHeight="1">
      <c r="B75" s="4"/>
      <c r="C75" s="4"/>
    </row>
    <row r="76" ht="15.75" customHeight="1">
      <c r="B76" s="4"/>
      <c r="C76" s="4"/>
    </row>
    <row r="77" ht="15.75" customHeight="1">
      <c r="B77" s="4"/>
      <c r="C77" s="4"/>
    </row>
    <row r="78" ht="15.75" customHeight="1">
      <c r="B78" s="4"/>
      <c r="C78" s="4"/>
    </row>
    <row r="79" ht="15.75" customHeight="1">
      <c r="B79" s="4"/>
      <c r="C79" s="4"/>
    </row>
    <row r="80" ht="15.75" customHeight="1">
      <c r="B80" s="4"/>
      <c r="C80" s="4"/>
    </row>
    <row r="81" ht="15.75" customHeight="1">
      <c r="B81" s="4"/>
      <c r="C81" s="4"/>
    </row>
    <row r="82" ht="15.75" customHeight="1">
      <c r="B82" s="4"/>
      <c r="C82" s="4"/>
    </row>
    <row r="83" ht="15.75" customHeight="1">
      <c r="B83" s="4"/>
      <c r="C83" s="4"/>
    </row>
    <row r="84" ht="15.75" customHeight="1">
      <c r="B84" s="4"/>
      <c r="C84" s="4"/>
    </row>
    <row r="85" ht="15.75" customHeight="1">
      <c r="B85" s="4"/>
      <c r="C85" s="4"/>
    </row>
    <row r="86" ht="15.75" customHeight="1">
      <c r="B86" s="4"/>
      <c r="C86" s="4"/>
    </row>
    <row r="87" ht="15.75" customHeight="1">
      <c r="B87" s="4"/>
      <c r="C87" s="4"/>
    </row>
    <row r="88" ht="15.75" customHeight="1">
      <c r="B88" s="4"/>
      <c r="C88" s="4"/>
    </row>
    <row r="89" ht="15.75" customHeight="1">
      <c r="B89" s="4"/>
      <c r="C89" s="4"/>
    </row>
    <row r="90" ht="15.75" customHeight="1">
      <c r="B90" s="4"/>
      <c r="C90" s="4"/>
    </row>
    <row r="91" ht="15.75" customHeight="1">
      <c r="B91" s="4"/>
      <c r="C91" s="4"/>
    </row>
    <row r="92" ht="15.75" customHeight="1">
      <c r="B92" s="4"/>
      <c r="C92" s="4"/>
    </row>
    <row r="93" ht="15.75" customHeight="1">
      <c r="B93" s="4"/>
      <c r="C93" s="4"/>
    </row>
    <row r="94" ht="15.75" customHeight="1">
      <c r="B94" s="4"/>
      <c r="C94" s="4"/>
    </row>
    <row r="95" ht="15.75" customHeight="1">
      <c r="B95" s="4"/>
      <c r="C95" s="4"/>
    </row>
    <row r="96" ht="15.75" customHeight="1">
      <c r="B96" s="4"/>
      <c r="C96" s="4"/>
    </row>
    <row r="97" ht="15.75" customHeight="1">
      <c r="B97" s="4"/>
      <c r="C97" s="4"/>
    </row>
    <row r="98" ht="15.75" customHeight="1">
      <c r="B98" s="4"/>
      <c r="C98" s="4"/>
    </row>
    <row r="99" ht="15.75" customHeight="1">
      <c r="B99" s="4"/>
      <c r="C99" s="4"/>
    </row>
    <row r="100" ht="15.75" customHeight="1">
      <c r="B100" s="4"/>
      <c r="C100" s="4"/>
    </row>
    <row r="101" ht="15.75" customHeight="1">
      <c r="B101" s="4"/>
      <c r="C101" s="4"/>
    </row>
    <row r="102" ht="15.75" customHeight="1">
      <c r="B102" s="4"/>
      <c r="C102" s="4"/>
    </row>
    <row r="103" ht="15.75" customHeight="1">
      <c r="B103" s="4"/>
      <c r="C103" s="4"/>
    </row>
    <row r="104" ht="15.75" customHeight="1">
      <c r="B104" s="4"/>
      <c r="C104" s="4"/>
    </row>
    <row r="105" ht="15.75" customHeight="1">
      <c r="B105" s="4"/>
      <c r="C105" s="4"/>
    </row>
    <row r="106" ht="15.75" customHeight="1">
      <c r="B106" s="4"/>
      <c r="C106" s="4"/>
    </row>
    <row r="107" ht="15.75" customHeight="1">
      <c r="B107" s="4"/>
      <c r="C107" s="4"/>
    </row>
    <row r="108" ht="15.75" customHeight="1">
      <c r="B108" s="4"/>
      <c r="C108" s="4"/>
    </row>
    <row r="109" ht="15.75" customHeight="1">
      <c r="B109" s="4"/>
      <c r="C109" s="4"/>
    </row>
    <row r="110" ht="15.75" customHeight="1">
      <c r="B110" s="4"/>
      <c r="C110" s="4"/>
    </row>
    <row r="111" ht="15.75" customHeight="1">
      <c r="B111" s="4"/>
      <c r="C111" s="4"/>
    </row>
    <row r="112" ht="15.75" customHeight="1">
      <c r="B112" s="4"/>
      <c r="C112" s="4"/>
    </row>
    <row r="113" ht="15.75" customHeight="1">
      <c r="B113" s="4"/>
      <c r="C113" s="4"/>
    </row>
    <row r="114" ht="15.75" customHeight="1">
      <c r="B114" s="4"/>
      <c r="C114" s="4"/>
    </row>
    <row r="115" ht="15.75" customHeight="1">
      <c r="B115" s="4"/>
      <c r="C115" s="4"/>
    </row>
    <row r="116" ht="15.75" customHeight="1">
      <c r="B116" s="4"/>
      <c r="C116" s="4"/>
    </row>
    <row r="117" ht="15.75" customHeight="1">
      <c r="B117" s="4"/>
      <c r="C117" s="4"/>
    </row>
    <row r="118" ht="15.75" customHeight="1">
      <c r="B118" s="4"/>
      <c r="C118" s="4"/>
    </row>
    <row r="119" ht="15.75" customHeight="1">
      <c r="B119" s="4"/>
      <c r="C119" s="4"/>
    </row>
    <row r="120" ht="15.75" customHeight="1">
      <c r="B120" s="4"/>
      <c r="C120" s="4"/>
    </row>
    <row r="121" ht="15.75" customHeight="1">
      <c r="B121" s="4"/>
      <c r="C121" s="4"/>
    </row>
    <row r="122" ht="15.75" customHeight="1">
      <c r="B122" s="4"/>
      <c r="C122" s="4"/>
    </row>
    <row r="123" ht="15.75" customHeight="1">
      <c r="B123" s="4"/>
      <c r="C123" s="4"/>
    </row>
    <row r="124" ht="15.75" customHeight="1">
      <c r="B124" s="4"/>
      <c r="C124" s="4"/>
    </row>
    <row r="125" ht="15.75" customHeight="1">
      <c r="B125" s="4"/>
      <c r="C125" s="4"/>
    </row>
    <row r="126" ht="15.75" customHeight="1">
      <c r="B126" s="4"/>
      <c r="C126" s="4"/>
    </row>
    <row r="127" ht="15.75" customHeight="1">
      <c r="B127" s="4"/>
      <c r="C127" s="4"/>
    </row>
    <row r="128" ht="15.75" customHeight="1">
      <c r="B128" s="4"/>
      <c r="C128" s="4"/>
    </row>
    <row r="129" ht="15.75" customHeight="1">
      <c r="B129" s="4"/>
      <c r="C129" s="4"/>
    </row>
    <row r="130" ht="15.75" customHeight="1">
      <c r="B130" s="4"/>
      <c r="C130" s="4"/>
    </row>
    <row r="131" ht="15.75" customHeight="1">
      <c r="B131" s="4"/>
      <c r="C131" s="4"/>
    </row>
    <row r="132" ht="15.75" customHeight="1">
      <c r="B132" s="4"/>
      <c r="C132" s="4"/>
    </row>
    <row r="133" ht="15.75" customHeight="1">
      <c r="B133" s="4"/>
      <c r="C133" s="4"/>
    </row>
    <row r="134" ht="15.75" customHeight="1">
      <c r="B134" s="4"/>
      <c r="C134" s="4"/>
    </row>
    <row r="135" ht="15.75" customHeight="1">
      <c r="B135" s="4"/>
      <c r="C135" s="4"/>
    </row>
    <row r="136" ht="15.75" customHeight="1">
      <c r="B136" s="4"/>
      <c r="C136" s="4"/>
    </row>
    <row r="137" ht="15.75" customHeight="1">
      <c r="B137" s="4"/>
      <c r="C137" s="4"/>
    </row>
    <row r="138" ht="15.75" customHeight="1">
      <c r="B138" s="4"/>
      <c r="C138" s="4"/>
    </row>
    <row r="139" ht="15.75" customHeight="1">
      <c r="B139" s="4"/>
      <c r="C139" s="4"/>
    </row>
    <row r="140" ht="15.75" customHeight="1">
      <c r="B140" s="4"/>
      <c r="C140" s="4"/>
    </row>
    <row r="141" ht="15.75" customHeight="1">
      <c r="B141" s="4"/>
      <c r="C141" s="4"/>
    </row>
    <row r="142" ht="15.75" customHeight="1">
      <c r="B142" s="4"/>
      <c r="C142" s="4"/>
    </row>
    <row r="143" ht="15.75" customHeight="1">
      <c r="B143" s="4"/>
      <c r="C143" s="4"/>
    </row>
    <row r="144" ht="15.75" customHeight="1">
      <c r="B144" s="4"/>
      <c r="C144" s="4"/>
    </row>
    <row r="145" ht="15.75" customHeight="1">
      <c r="B145" s="4"/>
      <c r="C145" s="4"/>
    </row>
    <row r="146" ht="15.75" customHeight="1">
      <c r="B146" s="4"/>
      <c r="C146" s="4"/>
    </row>
    <row r="147" ht="15.75" customHeight="1">
      <c r="B147" s="4"/>
      <c r="C147" s="4"/>
    </row>
    <row r="148" ht="15.75" customHeight="1">
      <c r="B148" s="4"/>
      <c r="C148" s="4"/>
    </row>
    <row r="149" ht="15.75" customHeight="1">
      <c r="B149" s="4"/>
      <c r="C149" s="4"/>
    </row>
    <row r="150" ht="15.75" customHeight="1">
      <c r="B150" s="4"/>
      <c r="C150" s="4"/>
    </row>
    <row r="151" ht="15.75" customHeight="1">
      <c r="B151" s="4"/>
      <c r="C151" s="4"/>
    </row>
    <row r="152" ht="15.75" customHeight="1">
      <c r="B152" s="4"/>
      <c r="C152" s="4"/>
    </row>
    <row r="153" ht="15.75" customHeight="1">
      <c r="B153" s="4"/>
      <c r="C153" s="4"/>
    </row>
    <row r="154" ht="15.75" customHeight="1">
      <c r="B154" s="4"/>
      <c r="C154" s="4"/>
    </row>
    <row r="155" ht="15.75" customHeight="1">
      <c r="B155" s="4"/>
      <c r="C155" s="4"/>
    </row>
    <row r="156" ht="15.75" customHeight="1">
      <c r="B156" s="4"/>
      <c r="C156" s="4"/>
    </row>
    <row r="157" ht="15.75" customHeight="1">
      <c r="B157" s="4"/>
      <c r="C157" s="4"/>
    </row>
    <row r="158" ht="15.75" customHeight="1">
      <c r="B158" s="4"/>
      <c r="C158" s="4"/>
    </row>
    <row r="159" ht="15.75" customHeight="1">
      <c r="B159" s="4"/>
      <c r="C159" s="4"/>
    </row>
    <row r="160" ht="15.75" customHeight="1">
      <c r="B160" s="4"/>
      <c r="C160" s="4"/>
    </row>
    <row r="161" ht="15.75" customHeight="1">
      <c r="B161" s="4"/>
      <c r="C161" s="4"/>
    </row>
    <row r="162" ht="15.75" customHeight="1">
      <c r="B162" s="4"/>
      <c r="C162" s="4"/>
    </row>
    <row r="163" ht="15.75" customHeight="1">
      <c r="B163" s="4"/>
      <c r="C163" s="4"/>
    </row>
    <row r="164" ht="15.75" customHeight="1">
      <c r="B164" s="4"/>
      <c r="C164" s="4"/>
    </row>
    <row r="165" ht="15.75" customHeight="1">
      <c r="B165" s="4"/>
      <c r="C165" s="4"/>
    </row>
    <row r="166" ht="15.75" customHeight="1">
      <c r="B166" s="4"/>
      <c r="C166" s="4"/>
    </row>
    <row r="167" ht="15.75" customHeight="1">
      <c r="B167" s="4"/>
      <c r="C167" s="4"/>
    </row>
    <row r="168" ht="15.75" customHeight="1">
      <c r="B168" s="4"/>
      <c r="C168" s="4"/>
    </row>
    <row r="169" ht="15.75" customHeight="1">
      <c r="B169" s="4"/>
      <c r="C169" s="4"/>
    </row>
    <row r="170" ht="15.75" customHeight="1">
      <c r="B170" s="4"/>
      <c r="C170" s="4"/>
    </row>
    <row r="171" ht="15.75" customHeight="1">
      <c r="B171" s="4"/>
      <c r="C171" s="4"/>
    </row>
    <row r="172" ht="15.75" customHeight="1">
      <c r="B172" s="4"/>
      <c r="C172" s="4"/>
    </row>
    <row r="173" ht="15.75" customHeight="1">
      <c r="B173" s="4"/>
      <c r="C173" s="4"/>
    </row>
    <row r="174" ht="15.75" customHeight="1">
      <c r="B174" s="4"/>
      <c r="C174" s="4"/>
    </row>
    <row r="175" ht="15.75" customHeight="1">
      <c r="B175" s="4"/>
      <c r="C175" s="4"/>
    </row>
    <row r="176" ht="15.75" customHeight="1">
      <c r="B176" s="4"/>
      <c r="C176" s="4"/>
    </row>
    <row r="177" ht="15.75" customHeight="1">
      <c r="B177" s="4"/>
      <c r="C177" s="4"/>
    </row>
    <row r="178" ht="15.75" customHeight="1">
      <c r="B178" s="4"/>
      <c r="C178" s="4"/>
    </row>
    <row r="179" ht="15.75" customHeight="1">
      <c r="B179" s="4"/>
      <c r="C179" s="4"/>
    </row>
    <row r="180" ht="15.75" customHeight="1">
      <c r="B180" s="4"/>
      <c r="C180" s="4"/>
    </row>
    <row r="181" ht="15.75" customHeight="1">
      <c r="B181" s="4"/>
      <c r="C181" s="4"/>
    </row>
    <row r="182" ht="15.75" customHeight="1">
      <c r="B182" s="4"/>
      <c r="C182" s="4"/>
    </row>
    <row r="183" ht="15.75" customHeight="1">
      <c r="B183" s="4"/>
      <c r="C183" s="4"/>
    </row>
    <row r="184" ht="15.75" customHeight="1">
      <c r="B184" s="4"/>
      <c r="C184" s="4"/>
    </row>
    <row r="185" ht="15.75" customHeight="1">
      <c r="B185" s="4"/>
      <c r="C185" s="4"/>
    </row>
    <row r="186" ht="15.75" customHeight="1">
      <c r="B186" s="4"/>
      <c r="C186" s="4"/>
    </row>
    <row r="187" ht="15.75" customHeight="1">
      <c r="B187" s="4"/>
      <c r="C187" s="4"/>
    </row>
    <row r="188" ht="15.75" customHeight="1">
      <c r="B188" s="4"/>
      <c r="C188" s="4"/>
    </row>
    <row r="189" ht="15.75" customHeight="1">
      <c r="B189" s="4"/>
      <c r="C189" s="4"/>
    </row>
    <row r="190" ht="15.75" customHeight="1">
      <c r="B190" s="4"/>
      <c r="C190" s="4"/>
    </row>
    <row r="191" ht="15.75" customHeight="1">
      <c r="B191" s="4"/>
      <c r="C191" s="4"/>
    </row>
    <row r="192" ht="15.75" customHeight="1">
      <c r="B192" s="4"/>
      <c r="C192" s="4"/>
    </row>
    <row r="193" ht="15.75" customHeight="1">
      <c r="B193" s="4"/>
      <c r="C193" s="4"/>
    </row>
    <row r="194" ht="15.75" customHeight="1">
      <c r="B194" s="4"/>
      <c r="C194" s="4"/>
    </row>
    <row r="195" ht="15.75" customHeight="1">
      <c r="B195" s="4"/>
      <c r="C195" s="4"/>
    </row>
    <row r="196" ht="15.75" customHeight="1">
      <c r="B196" s="4"/>
      <c r="C196" s="4"/>
    </row>
    <row r="197" ht="15.75" customHeight="1">
      <c r="B197" s="4"/>
      <c r="C197" s="4"/>
    </row>
    <row r="198" ht="15.75" customHeight="1">
      <c r="B198" s="4"/>
      <c r="C198" s="4"/>
    </row>
    <row r="199" ht="15.75" customHeight="1">
      <c r="B199" s="4"/>
      <c r="C199" s="4"/>
    </row>
    <row r="200" ht="15.75" customHeight="1">
      <c r="B200" s="4"/>
      <c r="C200" s="4"/>
    </row>
    <row r="201" ht="15.75" customHeight="1">
      <c r="B201" s="4"/>
      <c r="C201" s="4"/>
    </row>
    <row r="202" ht="15.75" customHeight="1">
      <c r="B202" s="4"/>
      <c r="C202" s="4"/>
    </row>
    <row r="203" ht="15.75" customHeight="1">
      <c r="B203" s="4"/>
      <c r="C203" s="4"/>
    </row>
    <row r="204" ht="15.75" customHeight="1">
      <c r="B204" s="4"/>
      <c r="C204" s="4"/>
    </row>
    <row r="205" ht="15.75" customHeight="1">
      <c r="B205" s="4"/>
      <c r="C205" s="4"/>
    </row>
    <row r="206" ht="15.75" customHeight="1">
      <c r="B206" s="4"/>
      <c r="C206" s="4"/>
    </row>
    <row r="207" ht="15.75" customHeight="1">
      <c r="B207" s="4"/>
      <c r="C207" s="4"/>
    </row>
    <row r="208" ht="15.75" customHeight="1">
      <c r="B208" s="4"/>
      <c r="C208" s="4"/>
    </row>
    <row r="209" ht="15.75" customHeight="1">
      <c r="B209" s="4"/>
      <c r="C209" s="4"/>
    </row>
    <row r="210" ht="15.75" customHeight="1">
      <c r="B210" s="4"/>
      <c r="C210" s="4"/>
    </row>
    <row r="211" ht="15.75" customHeight="1">
      <c r="B211" s="4"/>
      <c r="C211" s="4"/>
    </row>
    <row r="212" ht="15.75" customHeight="1">
      <c r="B212" s="4"/>
      <c r="C212" s="4"/>
    </row>
    <row r="213" ht="15.75" customHeight="1">
      <c r="B213" s="4"/>
      <c r="C213" s="4"/>
    </row>
    <row r="214" ht="15.75" customHeight="1">
      <c r="B214" s="4"/>
      <c r="C214" s="4"/>
    </row>
    <row r="215" ht="15.75" customHeight="1">
      <c r="B215" s="4"/>
      <c r="C215" s="4"/>
    </row>
    <row r="216" ht="15.75" customHeight="1">
      <c r="B216" s="4"/>
      <c r="C216" s="4"/>
    </row>
    <row r="217" ht="15.75" customHeight="1">
      <c r="B217" s="4"/>
      <c r="C217" s="4"/>
    </row>
    <row r="218" ht="15.75" customHeight="1">
      <c r="B218" s="4"/>
      <c r="C218" s="4"/>
    </row>
    <row r="219" ht="15.75" customHeight="1">
      <c r="B219" s="4"/>
      <c r="C219" s="4"/>
    </row>
    <row r="220" ht="15.75" customHeight="1">
      <c r="B220" s="4"/>
      <c r="C220" s="4"/>
    </row>
    <row r="221" ht="15.75" customHeight="1">
      <c r="B221" s="4"/>
      <c r="C221" s="4"/>
    </row>
    <row r="222" ht="15.75" customHeight="1">
      <c r="B222" s="4"/>
      <c r="C222" s="4"/>
    </row>
    <row r="223" ht="15.75" customHeight="1">
      <c r="B223" s="4"/>
      <c r="C223" s="4"/>
    </row>
    <row r="224" ht="15.75" customHeight="1">
      <c r="B224" s="4"/>
      <c r="C224" s="4"/>
    </row>
    <row r="225" ht="15.75" customHeight="1">
      <c r="B225" s="4"/>
      <c r="C225" s="4"/>
    </row>
    <row r="226" ht="15.75" customHeight="1">
      <c r="B226" s="4"/>
      <c r="C226" s="4"/>
    </row>
    <row r="227" ht="15.75" customHeight="1">
      <c r="B227" s="4"/>
      <c r="C227" s="4"/>
    </row>
    <row r="228" ht="15.75" customHeight="1">
      <c r="B228" s="4"/>
      <c r="C228" s="4"/>
    </row>
    <row r="229" ht="15.75" customHeight="1">
      <c r="B229" s="4"/>
      <c r="C229" s="4"/>
    </row>
    <row r="230" ht="15.75" customHeight="1">
      <c r="B230" s="4"/>
      <c r="C230" s="4"/>
    </row>
    <row r="231" ht="15.75" customHeight="1">
      <c r="B231" s="4"/>
      <c r="C231" s="4"/>
    </row>
    <row r="232" ht="15.75" customHeight="1">
      <c r="B232" s="4"/>
      <c r="C232" s="4"/>
    </row>
    <row r="233" ht="15.75" customHeight="1">
      <c r="B233" s="4"/>
      <c r="C233" s="4"/>
    </row>
    <row r="234" ht="15.75" customHeight="1">
      <c r="B234" s="4"/>
      <c r="C234" s="4"/>
    </row>
    <row r="235" ht="15.75" customHeight="1">
      <c r="B235" s="4"/>
      <c r="C235" s="4"/>
    </row>
    <row r="236" ht="15.75" customHeight="1">
      <c r="B236" s="4"/>
      <c r="C236" s="4"/>
    </row>
    <row r="237" ht="15.75" customHeight="1">
      <c r="B237" s="4"/>
      <c r="C237" s="4"/>
    </row>
    <row r="238" ht="15.75" customHeight="1">
      <c r="B238" s="4"/>
      <c r="C238" s="4"/>
    </row>
    <row r="239" ht="15.75" customHeight="1">
      <c r="B239" s="4"/>
      <c r="C239" s="4"/>
    </row>
    <row r="240" ht="15.75" customHeight="1">
      <c r="B240" s="4"/>
      <c r="C240" s="4"/>
    </row>
    <row r="241" ht="15.75" customHeight="1">
      <c r="B241" s="4"/>
      <c r="C241" s="4"/>
    </row>
    <row r="242" ht="15.75" customHeight="1">
      <c r="B242" s="4"/>
      <c r="C242" s="4"/>
    </row>
    <row r="243" ht="15.75" customHeight="1">
      <c r="B243" s="4"/>
      <c r="C243" s="4"/>
    </row>
    <row r="244" ht="15.75" customHeight="1">
      <c r="B244" s="4"/>
      <c r="C244" s="4"/>
    </row>
    <row r="245" ht="15.75" customHeight="1">
      <c r="B245" s="4"/>
      <c r="C245" s="4"/>
    </row>
    <row r="246" ht="15.75" customHeight="1">
      <c r="B246" s="4"/>
      <c r="C246" s="4"/>
    </row>
    <row r="247" ht="15.75" customHeight="1">
      <c r="B247" s="4"/>
      <c r="C247" s="4"/>
    </row>
    <row r="248" ht="15.75" customHeight="1">
      <c r="B248" s="4"/>
      <c r="C248" s="4"/>
    </row>
    <row r="249" ht="15.75" customHeight="1">
      <c r="B249" s="4"/>
      <c r="C249" s="4"/>
    </row>
    <row r="250" ht="15.75" customHeight="1">
      <c r="B250" s="4"/>
      <c r="C250" s="4"/>
    </row>
    <row r="251" ht="15.75" customHeight="1">
      <c r="B251" s="4"/>
      <c r="C251" s="4"/>
    </row>
    <row r="252" ht="15.75" customHeight="1">
      <c r="B252" s="4"/>
      <c r="C252" s="4"/>
    </row>
    <row r="253" ht="15.75" customHeight="1">
      <c r="B253" s="4"/>
      <c r="C253" s="4"/>
    </row>
    <row r="254" ht="15.75" customHeight="1">
      <c r="B254" s="4"/>
      <c r="C254" s="4"/>
    </row>
    <row r="255" ht="15.75" customHeight="1">
      <c r="B255" s="4"/>
      <c r="C255" s="4"/>
    </row>
    <row r="256" ht="15.75" customHeight="1">
      <c r="B256" s="4"/>
      <c r="C256" s="4"/>
    </row>
    <row r="257" ht="15.75" customHeight="1">
      <c r="B257" s="4"/>
      <c r="C257" s="4"/>
    </row>
    <row r="258" ht="15.75" customHeight="1">
      <c r="B258" s="4"/>
      <c r="C258" s="4"/>
    </row>
    <row r="259" ht="15.75" customHeight="1">
      <c r="B259" s="4"/>
      <c r="C259" s="4"/>
    </row>
    <row r="260" ht="15.75" customHeight="1">
      <c r="B260" s="4"/>
      <c r="C260" s="4"/>
    </row>
    <row r="261" ht="15.75" customHeight="1">
      <c r="B261" s="4"/>
      <c r="C261" s="4"/>
    </row>
    <row r="262" ht="15.75" customHeight="1">
      <c r="B262" s="4"/>
      <c r="C262" s="4"/>
    </row>
    <row r="263" ht="15.75" customHeight="1">
      <c r="B263" s="4"/>
      <c r="C263" s="4"/>
    </row>
    <row r="264" ht="15.75" customHeight="1">
      <c r="B264" s="4"/>
      <c r="C264" s="4"/>
    </row>
    <row r="265" ht="15.75" customHeight="1">
      <c r="B265" s="4"/>
      <c r="C265" s="4"/>
    </row>
    <row r="266" ht="15.75" customHeight="1">
      <c r="B266" s="4"/>
      <c r="C266" s="4"/>
    </row>
    <row r="267" ht="15.75" customHeight="1">
      <c r="B267" s="4"/>
      <c r="C267" s="4"/>
    </row>
    <row r="268" ht="15.75" customHeight="1">
      <c r="B268" s="4"/>
      <c r="C268" s="4"/>
    </row>
    <row r="269" ht="15.75" customHeight="1">
      <c r="B269" s="4"/>
      <c r="C269" s="4"/>
    </row>
    <row r="270" ht="15.75" customHeight="1">
      <c r="B270" s="4"/>
      <c r="C270" s="4"/>
    </row>
    <row r="271" ht="15.75" customHeight="1">
      <c r="B271" s="4"/>
      <c r="C271" s="4"/>
    </row>
    <row r="272" ht="15.75" customHeight="1">
      <c r="B272" s="4"/>
      <c r="C272" s="4"/>
    </row>
    <row r="273" ht="15.75" customHeight="1">
      <c r="B273" s="4"/>
      <c r="C273" s="4"/>
    </row>
    <row r="274" ht="15.75" customHeight="1">
      <c r="B274" s="4"/>
      <c r="C274" s="4"/>
    </row>
    <row r="275" ht="15.75" customHeight="1">
      <c r="B275" s="4"/>
      <c r="C275" s="4"/>
    </row>
    <row r="276" ht="15.75" customHeight="1">
      <c r="B276" s="4"/>
      <c r="C276" s="4"/>
    </row>
    <row r="277" ht="15.75" customHeight="1">
      <c r="B277" s="4"/>
      <c r="C277" s="4"/>
    </row>
    <row r="278" ht="15.75" customHeight="1">
      <c r="B278" s="4"/>
      <c r="C278" s="4"/>
    </row>
    <row r="279" ht="15.75" customHeight="1">
      <c r="B279" s="4"/>
      <c r="C279" s="4"/>
    </row>
    <row r="280" ht="15.75" customHeight="1">
      <c r="B280" s="4"/>
      <c r="C280" s="4"/>
    </row>
    <row r="281" ht="15.75" customHeight="1">
      <c r="B281" s="4"/>
      <c r="C281" s="4"/>
    </row>
    <row r="282" ht="15.75" customHeight="1">
      <c r="B282" s="4"/>
      <c r="C282" s="4"/>
    </row>
    <row r="283" ht="15.75" customHeight="1">
      <c r="B283" s="4"/>
      <c r="C283" s="4"/>
    </row>
    <row r="284" ht="15.75" customHeight="1">
      <c r="B284" s="4"/>
      <c r="C284" s="4"/>
    </row>
    <row r="285" ht="15.75" customHeight="1">
      <c r="B285" s="4"/>
      <c r="C285" s="4"/>
    </row>
    <row r="286" ht="15.75" customHeight="1">
      <c r="B286" s="4"/>
      <c r="C286" s="4"/>
    </row>
    <row r="287" ht="15.75" customHeight="1">
      <c r="B287" s="4"/>
      <c r="C287" s="4"/>
    </row>
    <row r="288" ht="15.75" customHeight="1">
      <c r="B288" s="4"/>
      <c r="C288" s="4"/>
    </row>
    <row r="289" ht="15.75" customHeight="1">
      <c r="B289" s="4"/>
      <c r="C289" s="4"/>
    </row>
    <row r="290" ht="15.75" customHeight="1">
      <c r="B290" s="4"/>
      <c r="C290" s="4"/>
    </row>
    <row r="291" ht="15.75" customHeight="1">
      <c r="B291" s="4"/>
      <c r="C291" s="4"/>
    </row>
    <row r="292" ht="15.75" customHeight="1">
      <c r="B292" s="4"/>
      <c r="C292" s="4"/>
    </row>
    <row r="293" ht="15.75" customHeight="1">
      <c r="B293" s="4"/>
      <c r="C293" s="4"/>
    </row>
    <row r="294" ht="15.75" customHeight="1">
      <c r="B294" s="4"/>
      <c r="C294" s="4"/>
    </row>
    <row r="295" ht="15.75" customHeight="1">
      <c r="B295" s="4"/>
      <c r="C295" s="4"/>
    </row>
    <row r="296" ht="15.75" customHeight="1">
      <c r="B296" s="4"/>
      <c r="C296" s="4"/>
    </row>
    <row r="297" ht="15.75" customHeight="1">
      <c r="B297" s="4"/>
      <c r="C297" s="4"/>
    </row>
    <row r="298" ht="15.75" customHeight="1">
      <c r="B298" s="4"/>
      <c r="C298" s="4"/>
    </row>
    <row r="299" ht="15.75" customHeight="1">
      <c r="B299" s="4"/>
      <c r="C299" s="4"/>
    </row>
    <row r="300" ht="15.75" customHeight="1">
      <c r="B300" s="4"/>
      <c r="C300" s="4"/>
    </row>
    <row r="301" ht="15.75" customHeight="1">
      <c r="B301" s="4"/>
      <c r="C301" s="4"/>
    </row>
    <row r="302" ht="15.75" customHeight="1">
      <c r="B302" s="4"/>
      <c r="C302" s="4"/>
    </row>
    <row r="303" ht="15.75" customHeight="1">
      <c r="B303" s="4"/>
      <c r="C303" s="4"/>
    </row>
    <row r="304" ht="15.75" customHeight="1">
      <c r="B304" s="4"/>
      <c r="C304" s="4"/>
    </row>
    <row r="305" ht="15.75" customHeight="1">
      <c r="B305" s="4"/>
      <c r="C305" s="4"/>
    </row>
    <row r="306" ht="15.75" customHeight="1">
      <c r="B306" s="4"/>
      <c r="C306" s="4"/>
    </row>
    <row r="307" ht="15.75" customHeight="1">
      <c r="B307" s="4"/>
      <c r="C307" s="4"/>
    </row>
    <row r="308" ht="15.75" customHeight="1">
      <c r="B308" s="4"/>
      <c r="C308" s="4"/>
    </row>
    <row r="309" ht="15.75" customHeight="1">
      <c r="B309" s="4"/>
      <c r="C309" s="4"/>
    </row>
    <row r="310" ht="15.75" customHeight="1">
      <c r="B310" s="4"/>
      <c r="C310" s="4"/>
    </row>
    <row r="311" ht="15.75" customHeight="1">
      <c r="B311" s="4"/>
      <c r="C311" s="4"/>
    </row>
    <row r="312" ht="15.75" customHeight="1">
      <c r="B312" s="4"/>
      <c r="C312" s="4"/>
    </row>
    <row r="313" ht="15.75" customHeight="1">
      <c r="B313" s="4"/>
      <c r="C313" s="4"/>
    </row>
    <row r="314" ht="15.75" customHeight="1">
      <c r="B314" s="4"/>
      <c r="C314" s="4"/>
    </row>
    <row r="315" ht="15.75" customHeight="1">
      <c r="B315" s="4"/>
      <c r="C315" s="4"/>
    </row>
    <row r="316" ht="15.75" customHeight="1">
      <c r="B316" s="4"/>
      <c r="C316" s="4"/>
    </row>
    <row r="317" ht="15.75" customHeight="1">
      <c r="B317" s="4"/>
      <c r="C317" s="4"/>
    </row>
    <row r="318" ht="15.75" customHeight="1">
      <c r="B318" s="4"/>
      <c r="C318" s="4"/>
    </row>
    <row r="319" ht="15.75" customHeight="1">
      <c r="B319" s="4"/>
      <c r="C319" s="4"/>
    </row>
    <row r="320" ht="15.75" customHeight="1">
      <c r="B320" s="4"/>
      <c r="C320" s="4"/>
    </row>
    <row r="321" ht="15.75" customHeight="1">
      <c r="B321" s="4"/>
      <c r="C321" s="4"/>
    </row>
    <row r="322" ht="15.75" customHeight="1">
      <c r="B322" s="4"/>
      <c r="C322" s="4"/>
    </row>
    <row r="323" ht="15.75" customHeight="1">
      <c r="B323" s="4"/>
      <c r="C323" s="4"/>
    </row>
    <row r="324" ht="15.75" customHeight="1">
      <c r="B324" s="4"/>
      <c r="C324" s="4"/>
    </row>
    <row r="325" ht="15.75" customHeight="1">
      <c r="B325" s="4"/>
      <c r="C325" s="4"/>
    </row>
    <row r="326" ht="15.75" customHeight="1">
      <c r="B326" s="4"/>
      <c r="C326" s="4"/>
    </row>
    <row r="327" ht="15.75" customHeight="1">
      <c r="B327" s="4"/>
      <c r="C327" s="4"/>
    </row>
    <row r="328" ht="15.75" customHeight="1">
      <c r="B328" s="4"/>
      <c r="C328" s="4"/>
    </row>
    <row r="329" ht="15.75" customHeight="1">
      <c r="B329" s="4"/>
      <c r="C329" s="4"/>
    </row>
    <row r="330" ht="15.75" customHeight="1">
      <c r="B330" s="4"/>
      <c r="C330" s="4"/>
    </row>
    <row r="331" ht="15.75" customHeight="1">
      <c r="B331" s="4"/>
      <c r="C331" s="4"/>
    </row>
    <row r="332" ht="15.75" customHeight="1">
      <c r="B332" s="4"/>
      <c r="C332" s="4"/>
    </row>
    <row r="333" ht="15.75" customHeight="1">
      <c r="B333" s="4"/>
      <c r="C333" s="4"/>
    </row>
    <row r="334" ht="15.75" customHeight="1">
      <c r="B334" s="4"/>
      <c r="C334" s="4"/>
    </row>
    <row r="335" ht="15.75" customHeight="1">
      <c r="B335" s="4"/>
      <c r="C335" s="4"/>
    </row>
    <row r="336" ht="15.75" customHeight="1">
      <c r="B336" s="4"/>
      <c r="C336" s="4"/>
    </row>
    <row r="337" ht="15.75" customHeight="1">
      <c r="B337" s="4"/>
      <c r="C337" s="4"/>
    </row>
    <row r="338" ht="15.75" customHeight="1">
      <c r="B338" s="4"/>
      <c r="C338" s="4"/>
    </row>
    <row r="339" ht="15.75" customHeight="1">
      <c r="B339" s="4"/>
      <c r="C339" s="4"/>
    </row>
    <row r="340" ht="15.75" customHeight="1">
      <c r="B340" s="4"/>
      <c r="C340" s="4"/>
    </row>
    <row r="341" ht="15.75" customHeight="1">
      <c r="B341" s="4"/>
      <c r="C341" s="4"/>
    </row>
    <row r="342" ht="15.75" customHeight="1">
      <c r="B342" s="4"/>
      <c r="C342" s="4"/>
    </row>
    <row r="343" ht="15.75" customHeight="1">
      <c r="B343" s="4"/>
      <c r="C343" s="4"/>
    </row>
    <row r="344" ht="15.75" customHeight="1">
      <c r="B344" s="4"/>
      <c r="C344" s="4"/>
    </row>
    <row r="345" ht="15.75" customHeight="1">
      <c r="B345" s="4"/>
      <c r="C345" s="4"/>
    </row>
    <row r="346" ht="15.75" customHeight="1">
      <c r="B346" s="4"/>
      <c r="C346" s="4"/>
    </row>
    <row r="347" ht="15.75" customHeight="1">
      <c r="B347" s="4"/>
      <c r="C347" s="4"/>
    </row>
    <row r="348" ht="15.75" customHeight="1">
      <c r="B348" s="4"/>
      <c r="C348" s="4"/>
    </row>
    <row r="349" ht="15.75" customHeight="1">
      <c r="B349" s="4"/>
      <c r="C349" s="4"/>
    </row>
    <row r="350" ht="15.75" customHeight="1">
      <c r="B350" s="4"/>
      <c r="C350" s="4"/>
    </row>
    <row r="351" ht="15.75" customHeight="1">
      <c r="B351" s="4"/>
      <c r="C351" s="4"/>
    </row>
    <row r="352" ht="15.75" customHeight="1">
      <c r="B352" s="4"/>
      <c r="C352" s="4"/>
    </row>
    <row r="353" ht="15.75" customHeight="1">
      <c r="B353" s="4"/>
      <c r="C353" s="4"/>
    </row>
    <row r="354" ht="15.75" customHeight="1">
      <c r="B354" s="4"/>
      <c r="C354" s="4"/>
    </row>
    <row r="355" ht="15.75" customHeight="1">
      <c r="B355" s="4"/>
      <c r="C355" s="4"/>
    </row>
    <row r="356" ht="15.75" customHeight="1">
      <c r="B356" s="4"/>
      <c r="C356" s="4"/>
    </row>
    <row r="357" ht="15.75" customHeight="1">
      <c r="B357" s="4"/>
      <c r="C357" s="4"/>
    </row>
    <row r="358" ht="15.75" customHeight="1">
      <c r="B358" s="4"/>
      <c r="C358" s="4"/>
    </row>
    <row r="359" ht="15.75" customHeight="1">
      <c r="B359" s="4"/>
      <c r="C359" s="4"/>
    </row>
    <row r="360" ht="15.75" customHeight="1">
      <c r="B360" s="4"/>
      <c r="C360" s="4"/>
    </row>
    <row r="361" ht="15.75" customHeight="1">
      <c r="B361" s="4"/>
      <c r="C361" s="4"/>
    </row>
    <row r="362" ht="15.75" customHeight="1">
      <c r="B362" s="4"/>
      <c r="C362" s="4"/>
    </row>
    <row r="363" ht="15.75" customHeight="1">
      <c r="B363" s="4"/>
      <c r="C363" s="4"/>
    </row>
    <row r="364" ht="15.75" customHeight="1">
      <c r="B364" s="4"/>
      <c r="C364" s="4"/>
    </row>
    <row r="365" ht="15.75" customHeight="1">
      <c r="B365" s="4"/>
      <c r="C365" s="4"/>
    </row>
    <row r="366" ht="15.75" customHeight="1">
      <c r="B366" s="4"/>
      <c r="C366" s="4"/>
    </row>
    <row r="367" ht="15.75" customHeight="1">
      <c r="B367" s="4"/>
      <c r="C367" s="4"/>
    </row>
    <row r="368" ht="15.75" customHeight="1">
      <c r="B368" s="4"/>
      <c r="C368" s="4"/>
    </row>
    <row r="369" ht="15.75" customHeight="1">
      <c r="B369" s="4"/>
      <c r="C369" s="4"/>
    </row>
    <row r="370" ht="15.75" customHeight="1">
      <c r="B370" s="4"/>
      <c r="C370" s="4"/>
    </row>
    <row r="371" ht="15.75" customHeight="1">
      <c r="B371" s="4"/>
      <c r="C371" s="4"/>
    </row>
    <row r="372" ht="15.75" customHeight="1">
      <c r="B372" s="4"/>
      <c r="C372" s="4"/>
    </row>
    <row r="373" ht="15.75" customHeight="1">
      <c r="B373" s="4"/>
      <c r="C373" s="4"/>
    </row>
    <row r="374" ht="15.75" customHeight="1">
      <c r="B374" s="4"/>
      <c r="C374" s="4"/>
    </row>
    <row r="375" ht="15.75" customHeight="1">
      <c r="B375" s="4"/>
      <c r="C375" s="4"/>
    </row>
    <row r="376" ht="15.75" customHeight="1">
      <c r="B376" s="4"/>
      <c r="C376" s="4"/>
    </row>
    <row r="377" ht="15.75" customHeight="1">
      <c r="B377" s="4"/>
      <c r="C377" s="4"/>
    </row>
    <row r="378" ht="15.75" customHeight="1">
      <c r="B378" s="4"/>
      <c r="C378" s="4"/>
    </row>
    <row r="379" ht="15.75" customHeight="1">
      <c r="B379" s="4"/>
      <c r="C379" s="4"/>
    </row>
    <row r="380" ht="15.75" customHeight="1">
      <c r="B380" s="4"/>
      <c r="C380" s="4"/>
    </row>
    <row r="381" ht="15.75" customHeight="1">
      <c r="B381" s="4"/>
      <c r="C381" s="4"/>
    </row>
    <row r="382" ht="15.75" customHeight="1">
      <c r="B382" s="4"/>
      <c r="C382" s="4"/>
    </row>
    <row r="383" ht="15.75" customHeight="1">
      <c r="B383" s="4"/>
      <c r="C383" s="4"/>
    </row>
    <row r="384" ht="15.75" customHeight="1">
      <c r="B384" s="4"/>
      <c r="C384" s="4"/>
    </row>
    <row r="385" ht="15.75" customHeight="1">
      <c r="B385" s="4"/>
      <c r="C385" s="4"/>
    </row>
    <row r="386" ht="15.75" customHeight="1">
      <c r="B386" s="4"/>
      <c r="C386" s="4"/>
    </row>
    <row r="387" ht="15.75" customHeight="1">
      <c r="B387" s="4"/>
      <c r="C387" s="4"/>
    </row>
    <row r="388" ht="15.75" customHeight="1">
      <c r="B388" s="4"/>
      <c r="C388" s="4"/>
    </row>
    <row r="389" ht="15.75" customHeight="1">
      <c r="B389" s="4"/>
      <c r="C389" s="4"/>
    </row>
    <row r="390" ht="15.75" customHeight="1">
      <c r="B390" s="4"/>
      <c r="C390" s="4"/>
    </row>
    <row r="391" ht="15.75" customHeight="1">
      <c r="B391" s="4"/>
      <c r="C391" s="4"/>
    </row>
    <row r="392" ht="15.75" customHeight="1">
      <c r="B392" s="4"/>
      <c r="C392" s="4"/>
    </row>
    <row r="393" ht="15.75" customHeight="1">
      <c r="B393" s="4"/>
      <c r="C393" s="4"/>
    </row>
    <row r="394" ht="15.75" customHeight="1">
      <c r="B394" s="4"/>
      <c r="C394" s="4"/>
    </row>
    <row r="395" ht="15.75" customHeight="1">
      <c r="B395" s="4"/>
      <c r="C395" s="4"/>
    </row>
    <row r="396" ht="15.75" customHeight="1">
      <c r="B396" s="4"/>
      <c r="C396" s="4"/>
    </row>
    <row r="397" ht="15.75" customHeight="1">
      <c r="B397" s="4"/>
      <c r="C397" s="4"/>
    </row>
    <row r="398" ht="15.75" customHeight="1">
      <c r="B398" s="4"/>
      <c r="C398" s="4"/>
    </row>
    <row r="399" ht="15.75" customHeight="1">
      <c r="B399" s="4"/>
      <c r="C399" s="4"/>
    </row>
    <row r="400" ht="15.75" customHeight="1">
      <c r="B400" s="4"/>
      <c r="C400" s="4"/>
    </row>
    <row r="401" ht="15.75" customHeight="1">
      <c r="B401" s="4"/>
      <c r="C401" s="4"/>
    </row>
    <row r="402" ht="15.75" customHeight="1">
      <c r="B402" s="4"/>
      <c r="C402" s="4"/>
    </row>
    <row r="403" ht="15.75" customHeight="1">
      <c r="B403" s="4"/>
      <c r="C403" s="4"/>
    </row>
    <row r="404" ht="15.75" customHeight="1">
      <c r="B404" s="4"/>
      <c r="C404" s="4"/>
    </row>
    <row r="405" ht="15.75" customHeight="1">
      <c r="B405" s="4"/>
      <c r="C405" s="4"/>
    </row>
    <row r="406" ht="15.75" customHeight="1">
      <c r="B406" s="4"/>
      <c r="C406" s="4"/>
    </row>
    <row r="407" ht="15.75" customHeight="1">
      <c r="B407" s="4"/>
      <c r="C407" s="4"/>
    </row>
    <row r="408" ht="15.75" customHeight="1">
      <c r="B408" s="4"/>
      <c r="C408" s="4"/>
    </row>
    <row r="409" ht="15.75" customHeight="1">
      <c r="B409" s="4"/>
      <c r="C409" s="4"/>
    </row>
    <row r="410" ht="15.75" customHeight="1">
      <c r="B410" s="4"/>
      <c r="C410" s="4"/>
    </row>
    <row r="411" ht="15.75" customHeight="1">
      <c r="B411" s="4"/>
      <c r="C411" s="4"/>
    </row>
    <row r="412" ht="15.75" customHeight="1">
      <c r="B412" s="4"/>
      <c r="C412" s="4"/>
    </row>
    <row r="413" ht="15.75" customHeight="1">
      <c r="B413" s="4"/>
      <c r="C413" s="4"/>
    </row>
    <row r="414" ht="15.75" customHeight="1">
      <c r="B414" s="4"/>
      <c r="C414" s="4"/>
    </row>
    <row r="415" ht="15.75" customHeight="1">
      <c r="B415" s="4"/>
      <c r="C415" s="4"/>
    </row>
    <row r="416" ht="15.75" customHeight="1">
      <c r="B416" s="4"/>
      <c r="C416" s="4"/>
    </row>
    <row r="417" ht="15.75" customHeight="1">
      <c r="B417" s="4"/>
      <c r="C417" s="4"/>
    </row>
    <row r="418" ht="15.75" customHeight="1">
      <c r="B418" s="4"/>
      <c r="C418" s="4"/>
    </row>
    <row r="419" ht="15.75" customHeight="1">
      <c r="B419" s="4"/>
      <c r="C419" s="4"/>
    </row>
    <row r="420" ht="15.75" customHeight="1">
      <c r="B420" s="4"/>
      <c r="C420" s="4"/>
    </row>
    <row r="421" ht="15.75" customHeight="1">
      <c r="B421" s="4"/>
      <c r="C421" s="4"/>
    </row>
    <row r="422" ht="15.75" customHeight="1">
      <c r="B422" s="4"/>
      <c r="C422" s="4"/>
    </row>
    <row r="423" ht="15.75" customHeight="1">
      <c r="B423" s="4"/>
      <c r="C423" s="4"/>
    </row>
    <row r="424" ht="15.75" customHeight="1">
      <c r="B424" s="4"/>
      <c r="C424" s="4"/>
    </row>
    <row r="425" ht="15.75" customHeight="1">
      <c r="B425" s="4"/>
      <c r="C425" s="4"/>
    </row>
    <row r="426" ht="15.75" customHeight="1">
      <c r="B426" s="4"/>
      <c r="C426" s="4"/>
    </row>
    <row r="427" ht="15.75" customHeight="1">
      <c r="B427" s="4"/>
      <c r="C427" s="4"/>
    </row>
    <row r="428" ht="15.75" customHeight="1">
      <c r="B428" s="4"/>
      <c r="C428" s="4"/>
    </row>
    <row r="429" ht="15.75" customHeight="1">
      <c r="B429" s="4"/>
      <c r="C429" s="4"/>
    </row>
    <row r="430" ht="15.75" customHeight="1">
      <c r="B430" s="4"/>
      <c r="C430" s="4"/>
    </row>
    <row r="431" ht="15.75" customHeight="1">
      <c r="B431" s="4"/>
      <c r="C431" s="4"/>
    </row>
    <row r="432" ht="15.75" customHeight="1">
      <c r="B432" s="4"/>
      <c r="C432" s="4"/>
    </row>
    <row r="433" ht="15.75" customHeight="1">
      <c r="B433" s="4"/>
      <c r="C433" s="4"/>
    </row>
    <row r="434" ht="15.75" customHeight="1">
      <c r="B434" s="4"/>
      <c r="C434" s="4"/>
    </row>
    <row r="435" ht="15.75" customHeight="1">
      <c r="B435" s="4"/>
      <c r="C435" s="4"/>
    </row>
    <row r="436" ht="15.75" customHeight="1">
      <c r="B436" s="4"/>
      <c r="C436" s="4"/>
    </row>
    <row r="437" ht="15.75" customHeight="1">
      <c r="B437" s="4"/>
      <c r="C437" s="4"/>
    </row>
    <row r="438" ht="15.75" customHeight="1">
      <c r="B438" s="4"/>
      <c r="C438" s="4"/>
    </row>
    <row r="439" ht="15.75" customHeight="1">
      <c r="B439" s="4"/>
      <c r="C439" s="4"/>
    </row>
    <row r="440" ht="15.75" customHeight="1">
      <c r="B440" s="4"/>
      <c r="C440" s="4"/>
    </row>
    <row r="441" ht="15.75" customHeight="1">
      <c r="B441" s="4"/>
      <c r="C441" s="4"/>
    </row>
    <row r="442" ht="15.75" customHeight="1">
      <c r="B442" s="4"/>
      <c r="C442" s="4"/>
    </row>
    <row r="443" ht="15.75" customHeight="1">
      <c r="B443" s="4"/>
      <c r="C443" s="4"/>
    </row>
    <row r="444" ht="15.75" customHeight="1">
      <c r="B444" s="4"/>
      <c r="C444" s="4"/>
    </row>
    <row r="445" ht="15.75" customHeight="1">
      <c r="B445" s="4"/>
      <c r="C445" s="4"/>
    </row>
    <row r="446" ht="15.75" customHeight="1">
      <c r="B446" s="4"/>
      <c r="C446" s="4"/>
    </row>
    <row r="447" ht="15.75" customHeight="1">
      <c r="B447" s="4"/>
      <c r="C447" s="4"/>
    </row>
    <row r="448" ht="15.75" customHeight="1">
      <c r="B448" s="4"/>
      <c r="C448" s="4"/>
    </row>
    <row r="449" ht="15.75" customHeight="1">
      <c r="B449" s="4"/>
      <c r="C449" s="4"/>
    </row>
    <row r="450" ht="15.75" customHeight="1">
      <c r="B450" s="4"/>
      <c r="C450" s="4"/>
    </row>
    <row r="451" ht="15.75" customHeight="1">
      <c r="B451" s="4"/>
      <c r="C451" s="4"/>
    </row>
    <row r="452" ht="15.75" customHeight="1">
      <c r="B452" s="4"/>
      <c r="C452" s="4"/>
    </row>
    <row r="453" ht="15.75" customHeight="1">
      <c r="B453" s="4"/>
      <c r="C453" s="4"/>
    </row>
    <row r="454" ht="15.75" customHeight="1">
      <c r="B454" s="4"/>
      <c r="C454" s="4"/>
    </row>
    <row r="455" ht="15.75" customHeight="1">
      <c r="B455" s="4"/>
      <c r="C455" s="4"/>
    </row>
    <row r="456" ht="15.75" customHeight="1">
      <c r="B456" s="4"/>
      <c r="C456" s="4"/>
    </row>
    <row r="457" ht="15.75" customHeight="1">
      <c r="B457" s="4"/>
      <c r="C457" s="4"/>
    </row>
    <row r="458" ht="15.75" customHeight="1">
      <c r="B458" s="4"/>
      <c r="C458" s="4"/>
    </row>
    <row r="459" ht="15.75" customHeight="1">
      <c r="B459" s="4"/>
      <c r="C459" s="4"/>
    </row>
    <row r="460" ht="15.75" customHeight="1">
      <c r="B460" s="4"/>
      <c r="C460" s="4"/>
    </row>
    <row r="461" ht="15.75" customHeight="1">
      <c r="B461" s="4"/>
      <c r="C461" s="4"/>
    </row>
    <row r="462" ht="15.75" customHeight="1">
      <c r="B462" s="4"/>
      <c r="C462" s="4"/>
    </row>
    <row r="463" ht="15.75" customHeight="1">
      <c r="B463" s="4"/>
      <c r="C463" s="4"/>
    </row>
    <row r="464" ht="15.75" customHeight="1">
      <c r="B464" s="4"/>
      <c r="C464" s="4"/>
    </row>
    <row r="465" ht="15.75" customHeight="1">
      <c r="B465" s="4"/>
      <c r="C465" s="4"/>
    </row>
    <row r="466" ht="15.75" customHeight="1">
      <c r="B466" s="4"/>
      <c r="C466" s="4"/>
    </row>
    <row r="467" ht="15.75" customHeight="1">
      <c r="B467" s="4"/>
      <c r="C467" s="4"/>
    </row>
    <row r="468" ht="15.75" customHeight="1">
      <c r="B468" s="4"/>
      <c r="C468" s="4"/>
    </row>
    <row r="469" ht="15.75" customHeight="1">
      <c r="B469" s="4"/>
      <c r="C469" s="4"/>
    </row>
    <row r="470" ht="15.75" customHeight="1">
      <c r="B470" s="4"/>
      <c r="C470" s="4"/>
    </row>
    <row r="471" ht="15.75" customHeight="1">
      <c r="B471" s="4"/>
      <c r="C471" s="4"/>
    </row>
    <row r="472" ht="15.75" customHeight="1">
      <c r="B472" s="4"/>
      <c r="C472" s="4"/>
    </row>
    <row r="473" ht="15.75" customHeight="1">
      <c r="B473" s="4"/>
      <c r="C473" s="4"/>
    </row>
    <row r="474" ht="15.75" customHeight="1">
      <c r="B474" s="4"/>
      <c r="C474" s="4"/>
    </row>
    <row r="475" ht="15.75" customHeight="1">
      <c r="B475" s="4"/>
      <c r="C475" s="4"/>
    </row>
    <row r="476" ht="15.75" customHeight="1">
      <c r="B476" s="4"/>
      <c r="C476" s="4"/>
    </row>
    <row r="477" ht="15.75" customHeight="1">
      <c r="B477" s="4"/>
      <c r="C477" s="4"/>
    </row>
    <row r="478" ht="15.75" customHeight="1">
      <c r="B478" s="4"/>
      <c r="C478" s="4"/>
    </row>
    <row r="479" ht="15.75" customHeight="1">
      <c r="B479" s="4"/>
      <c r="C479" s="4"/>
    </row>
    <row r="480" ht="15.75" customHeight="1">
      <c r="B480" s="4"/>
      <c r="C480" s="4"/>
    </row>
    <row r="481" ht="15.75" customHeight="1">
      <c r="B481" s="4"/>
      <c r="C481" s="4"/>
    </row>
    <row r="482" ht="15.75" customHeight="1">
      <c r="B482" s="4"/>
      <c r="C482" s="4"/>
    </row>
    <row r="483" ht="15.75" customHeight="1">
      <c r="B483" s="4"/>
      <c r="C483" s="4"/>
    </row>
    <row r="484" ht="15.75" customHeight="1">
      <c r="B484" s="4"/>
      <c r="C484" s="4"/>
    </row>
    <row r="485" ht="15.75" customHeight="1">
      <c r="B485" s="4"/>
      <c r="C485" s="4"/>
    </row>
    <row r="486" ht="15.75" customHeight="1">
      <c r="B486" s="4"/>
      <c r="C486" s="4"/>
    </row>
    <row r="487" ht="15.75" customHeight="1">
      <c r="B487" s="4"/>
      <c r="C487" s="4"/>
    </row>
    <row r="488" ht="15.75" customHeight="1">
      <c r="B488" s="4"/>
      <c r="C488" s="4"/>
    </row>
    <row r="489" ht="15.75" customHeight="1">
      <c r="B489" s="4"/>
      <c r="C489" s="4"/>
    </row>
    <row r="490" ht="15.75" customHeight="1">
      <c r="B490" s="4"/>
      <c r="C490" s="4"/>
    </row>
    <row r="491" ht="15.75" customHeight="1">
      <c r="B491" s="4"/>
      <c r="C491" s="4"/>
    </row>
    <row r="492" ht="15.75" customHeight="1">
      <c r="B492" s="4"/>
      <c r="C492" s="4"/>
    </row>
    <row r="493" ht="15.75" customHeight="1">
      <c r="B493" s="4"/>
      <c r="C493" s="4"/>
    </row>
    <row r="494" ht="15.75" customHeight="1">
      <c r="B494" s="4"/>
      <c r="C494" s="4"/>
    </row>
    <row r="495" ht="15.75" customHeight="1">
      <c r="B495" s="4"/>
      <c r="C495" s="4"/>
    </row>
    <row r="496" ht="15.75" customHeight="1">
      <c r="B496" s="4"/>
      <c r="C496" s="4"/>
    </row>
    <row r="497" ht="15.75" customHeight="1">
      <c r="B497" s="4"/>
      <c r="C497" s="4"/>
    </row>
    <row r="498" ht="15.75" customHeight="1">
      <c r="B498" s="4"/>
      <c r="C498" s="4"/>
    </row>
    <row r="499" ht="15.75" customHeight="1">
      <c r="B499" s="4"/>
      <c r="C499" s="4"/>
    </row>
    <row r="500" ht="15.75" customHeight="1">
      <c r="B500" s="4"/>
      <c r="C500" s="4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500">
      <formula1>"Caiño,Loureira,Treixadura"</formula1>
    </dataValidation>
    <dataValidation type="list" allowBlank="1" showErrorMessage="1" sqref="C2:C500">
      <formula1>"Limpieza,Mantenimiento,Comisiones,Suministros,Ropa cama,Otros"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2.0"/>
    <col customWidth="1" min="6" max="26" width="8.71"/>
  </cols>
  <sheetData>
    <row r="1">
      <c r="A1" s="11" t="s">
        <v>20</v>
      </c>
    </row>
    <row r="3">
      <c r="A3" s="4" t="s">
        <v>21</v>
      </c>
      <c r="B3" s="4">
        <f>SUM(Reservas!F2:F500)</f>
        <v>900</v>
      </c>
    </row>
    <row r="4">
      <c r="A4" s="4" t="s">
        <v>22</v>
      </c>
      <c r="B4" s="4">
        <f>SUM(Gastos!F2:F500)</f>
        <v>50</v>
      </c>
    </row>
    <row r="5">
      <c r="A5" s="4" t="s">
        <v>23</v>
      </c>
      <c r="B5" s="4">
        <f>B3-B4</f>
        <v>850</v>
      </c>
    </row>
    <row r="7">
      <c r="A7" s="6" t="s">
        <v>24</v>
      </c>
      <c r="D7" s="6" t="s">
        <v>25</v>
      </c>
    </row>
    <row r="8">
      <c r="A8" s="4" t="s">
        <v>0</v>
      </c>
      <c r="B8" s="4" t="s">
        <v>26</v>
      </c>
      <c r="D8" s="4" t="s">
        <v>0</v>
      </c>
      <c r="E8" s="4" t="s">
        <v>27</v>
      </c>
    </row>
    <row r="9">
      <c r="A9" s="4" t="s">
        <v>7</v>
      </c>
      <c r="B9" s="4">
        <f>SUMIF(Reservas!A:A,"Caiño",Reservas!F:F)</f>
        <v>100</v>
      </c>
      <c r="D9" s="4" t="s">
        <v>7</v>
      </c>
      <c r="E9" s="4">
        <f>SUMIF(Gastos!B:B,"Caiño",Gastos!F:F)</f>
        <v>50</v>
      </c>
    </row>
    <row r="10">
      <c r="A10" s="4" t="s">
        <v>10</v>
      </c>
      <c r="B10" s="4">
        <f>SUMIF(Reservas!A:A,"Loureira",Reservas!F:F)</f>
        <v>800</v>
      </c>
      <c r="D10" s="4" t="s">
        <v>10</v>
      </c>
      <c r="E10" s="4">
        <f>SUMIF(Gastos!B:B,"Loureira",Gastos!F:F)</f>
        <v>0</v>
      </c>
    </row>
    <row r="11">
      <c r="A11" s="4" t="s">
        <v>13</v>
      </c>
      <c r="B11" s="4">
        <f>SUMIF(Reservas!A:A,"Treixadura",Reservas!F:F)</f>
        <v>0</v>
      </c>
      <c r="D11" s="4" t="s">
        <v>13</v>
      </c>
      <c r="E11" s="4">
        <f>SUMIF(Gastos!B:B,"Treixadura",Gastos!F:F)</f>
        <v>0</v>
      </c>
    </row>
    <row r="13">
      <c r="A13" s="6" t="s">
        <v>28</v>
      </c>
    </row>
    <row r="14">
      <c r="A14" s="4" t="s">
        <v>0</v>
      </c>
      <c r="B14" s="4" t="s">
        <v>29</v>
      </c>
    </row>
    <row r="15">
      <c r="A15" s="4" t="s">
        <v>7</v>
      </c>
      <c r="B15" s="4">
        <f t="shared" ref="B15:B17" si="1">B9-E9</f>
        <v>50</v>
      </c>
    </row>
    <row r="16">
      <c r="A16" s="4" t="s">
        <v>10</v>
      </c>
      <c r="B16" s="4">
        <f t="shared" si="1"/>
        <v>800</v>
      </c>
    </row>
    <row r="17">
      <c r="A17" s="4" t="s">
        <v>13</v>
      </c>
      <c r="B17" s="4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2025-12-09T10:36:54Z</dcterms:created>
  <dc:creator>openpyxl</dc:creator>
</cp:coreProperties>
</file>